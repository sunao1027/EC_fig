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kamura\Documents\PEC\EC_fig\"/>
    </mc:Choice>
  </mc:AlternateContent>
  <xr:revisionPtr revIDLastSave="0" documentId="13_ncr:1_{990C554C-DA9A-40EC-9EBF-C00034BB83AB}" xr6:coauthVersionLast="47" xr6:coauthVersionMax="47" xr10:uidLastSave="{00000000-0000-0000-0000-000000000000}"/>
  <bookViews>
    <workbookView xWindow="-120" yWindow="-120" windowWidth="29040" windowHeight="15720" activeTab="5" xr2:uid="{DD6DD6C5-0246-4D77-9CCA-65DA7CB2ED78}"/>
  </bookViews>
  <sheets>
    <sheet name="liver_CFU" sheetId="5" r:id="rId1"/>
    <sheet name="heart_CFU" sheetId="6" r:id="rId2"/>
    <sheet name="spleen_CFU" sheetId="2" r:id="rId3"/>
    <sheet name="liver" sheetId="1" r:id="rId4"/>
    <sheet name="heart" sheetId="3" r:id="rId5"/>
    <sheet name="spleen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25" i="1"/>
  <c r="E58" i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59" i="1"/>
  <c r="E60" i="1"/>
  <c r="E6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J3" i="5" a="1"/>
  <c r="J3" i="5" s="1"/>
  <c r="L3" i="5" s="1"/>
  <c r="E2" i="1"/>
  <c r="J2" i="5" a="1"/>
  <c r="J2" i="5" s="1"/>
  <c r="L2" i="5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2" i="2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2" i="6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J61" i="2" a="1"/>
  <c r="J61" i="2" s="1"/>
  <c r="J60" i="2" a="1"/>
  <c r="J60" i="2" s="1"/>
  <c r="J59" i="2" a="1"/>
  <c r="J59" i="2" s="1"/>
  <c r="J58" i="2" a="1"/>
  <c r="J58" i="2" s="1"/>
  <c r="J57" i="2" a="1"/>
  <c r="J57" i="2" s="1"/>
  <c r="J56" i="2" a="1"/>
  <c r="J56" i="2" s="1"/>
  <c r="J55" i="2" a="1"/>
  <c r="J55" i="2" s="1"/>
  <c r="J54" i="2" a="1"/>
  <c r="J54" i="2" s="1"/>
  <c r="J53" i="2" a="1"/>
  <c r="J53" i="2" s="1"/>
  <c r="J52" i="2" a="1"/>
  <c r="J52" i="2" s="1"/>
  <c r="J51" i="2" a="1"/>
  <c r="J51" i="2" s="1"/>
  <c r="J50" i="2" a="1"/>
  <c r="J50" i="2" s="1"/>
  <c r="J49" i="2" a="1"/>
  <c r="J49" i="2" s="1"/>
  <c r="J48" i="2" a="1"/>
  <c r="J48" i="2" s="1"/>
  <c r="J47" i="2" a="1"/>
  <c r="J47" i="2" s="1"/>
  <c r="J46" i="2" a="1"/>
  <c r="J46" i="2" s="1"/>
  <c r="J45" i="2" a="1"/>
  <c r="J45" i="2" s="1"/>
  <c r="J44" i="2" a="1"/>
  <c r="J44" i="2" s="1"/>
  <c r="J43" i="2" a="1"/>
  <c r="J43" i="2" s="1"/>
  <c r="J42" i="2" a="1"/>
  <c r="J42" i="2" s="1"/>
  <c r="J41" i="2" a="1"/>
  <c r="J41" i="2" s="1"/>
  <c r="J40" i="2" a="1"/>
  <c r="J40" i="2" s="1"/>
  <c r="J39" i="2" a="1"/>
  <c r="J39" i="2" s="1"/>
  <c r="J38" i="2" a="1"/>
  <c r="J38" i="2" s="1"/>
  <c r="J37" i="2" a="1"/>
  <c r="J37" i="2" s="1"/>
  <c r="J36" i="2" a="1"/>
  <c r="J36" i="2" s="1"/>
  <c r="J35" i="2" a="1"/>
  <c r="J35" i="2" s="1"/>
  <c r="J34" i="2" a="1"/>
  <c r="J34" i="2" s="1"/>
  <c r="J33" i="2" a="1"/>
  <c r="J33" i="2" s="1"/>
  <c r="J32" i="2" a="1"/>
  <c r="J32" i="2" s="1"/>
  <c r="J31" i="2" a="1"/>
  <c r="J31" i="2" s="1"/>
  <c r="J30" i="2" a="1"/>
  <c r="J30" i="2" s="1"/>
  <c r="J29" i="2" a="1"/>
  <c r="J29" i="2" s="1"/>
  <c r="J28" i="2" a="1"/>
  <c r="J28" i="2" s="1"/>
  <c r="J27" i="2" a="1"/>
  <c r="J27" i="2" s="1"/>
  <c r="J26" i="2" a="1"/>
  <c r="J26" i="2" s="1"/>
  <c r="J25" i="2" a="1"/>
  <c r="J25" i="2" s="1"/>
  <c r="J24" i="2" a="1"/>
  <c r="J24" i="2" s="1"/>
  <c r="J23" i="2" a="1"/>
  <c r="J23" i="2" s="1"/>
  <c r="J22" i="2" a="1"/>
  <c r="J22" i="2" s="1"/>
  <c r="J21" i="2" a="1"/>
  <c r="J21" i="2" s="1"/>
  <c r="J20" i="2" a="1"/>
  <c r="J20" i="2" s="1"/>
  <c r="J19" i="2" a="1"/>
  <c r="J19" i="2" s="1"/>
  <c r="J18" i="2" a="1"/>
  <c r="J18" i="2" s="1"/>
  <c r="J17" i="2" a="1"/>
  <c r="J17" i="2" s="1"/>
  <c r="J16" i="2" a="1"/>
  <c r="J16" i="2" s="1"/>
  <c r="J15" i="2" a="1"/>
  <c r="J15" i="2" s="1"/>
  <c r="J14" i="2" a="1"/>
  <c r="J14" i="2" s="1"/>
  <c r="J13" i="2" a="1"/>
  <c r="J13" i="2" s="1"/>
  <c r="J12" i="2" a="1"/>
  <c r="J12" i="2" s="1"/>
  <c r="J11" i="2" a="1"/>
  <c r="J11" i="2" s="1"/>
  <c r="J10" i="2" a="1"/>
  <c r="J10" i="2" s="1"/>
  <c r="J9" i="2" a="1"/>
  <c r="J9" i="2" s="1"/>
  <c r="J8" i="2" a="1"/>
  <c r="J8" i="2" s="1"/>
  <c r="J7" i="2" a="1"/>
  <c r="J7" i="2" s="1"/>
  <c r="J6" i="2" a="1"/>
  <c r="J6" i="2" s="1"/>
  <c r="J5" i="2" a="1"/>
  <c r="J5" i="2" s="1"/>
  <c r="J4" i="2" a="1"/>
  <c r="J4" i="2" s="1"/>
  <c r="J3" i="2" a="1"/>
  <c r="J3" i="2" s="1"/>
  <c r="J2" i="2" a="1"/>
  <c r="J2" i="2" s="1"/>
  <c r="J61" i="5" a="1"/>
  <c r="J61" i="5" s="1"/>
  <c r="J60" i="5" a="1"/>
  <c r="J60" i="5" s="1"/>
  <c r="J59" i="5" a="1"/>
  <c r="J59" i="5" s="1"/>
  <c r="J58" i="5" a="1"/>
  <c r="J58" i="5" s="1"/>
  <c r="J57" i="5" a="1"/>
  <c r="J57" i="5" s="1"/>
  <c r="J56" i="5" a="1"/>
  <c r="J56" i="5" s="1"/>
  <c r="J55" i="5" a="1"/>
  <c r="J55" i="5" s="1"/>
  <c r="J54" i="5" a="1"/>
  <c r="J54" i="5" s="1"/>
  <c r="J53" i="5" a="1"/>
  <c r="J53" i="5" s="1"/>
  <c r="J52" i="5" a="1"/>
  <c r="J52" i="5" s="1"/>
  <c r="J51" i="5" a="1"/>
  <c r="J51" i="5" s="1"/>
  <c r="J50" i="5" a="1"/>
  <c r="J50" i="5" s="1"/>
  <c r="J49" i="5" a="1"/>
  <c r="J49" i="5" s="1"/>
  <c r="J48" i="5" a="1"/>
  <c r="J48" i="5" s="1"/>
  <c r="J47" i="5" a="1"/>
  <c r="J47" i="5" s="1"/>
  <c r="J46" i="5" a="1"/>
  <c r="J46" i="5" s="1"/>
  <c r="J45" i="5" a="1"/>
  <c r="J45" i="5" s="1"/>
  <c r="J44" i="5" a="1"/>
  <c r="J44" i="5" s="1"/>
  <c r="J43" i="5" a="1"/>
  <c r="J43" i="5" s="1"/>
  <c r="J42" i="5" a="1"/>
  <c r="J42" i="5" s="1"/>
  <c r="J41" i="5" a="1"/>
  <c r="J41" i="5" s="1"/>
  <c r="J40" i="5" a="1"/>
  <c r="J40" i="5" s="1"/>
  <c r="J39" i="5" a="1"/>
  <c r="J39" i="5" s="1"/>
  <c r="J38" i="5" a="1"/>
  <c r="J38" i="5" s="1"/>
  <c r="J37" i="5" a="1"/>
  <c r="J37" i="5" s="1"/>
  <c r="J36" i="5" a="1"/>
  <c r="J36" i="5" s="1"/>
  <c r="J35" i="5" a="1"/>
  <c r="J35" i="5" s="1"/>
  <c r="J34" i="5" a="1"/>
  <c r="J34" i="5" s="1"/>
  <c r="J33" i="5" a="1"/>
  <c r="J33" i="5" s="1"/>
  <c r="J32" i="5" a="1"/>
  <c r="J32" i="5" s="1"/>
  <c r="J31" i="5" a="1"/>
  <c r="J31" i="5" s="1"/>
  <c r="J30" i="5" a="1"/>
  <c r="J30" i="5" s="1"/>
  <c r="J29" i="5" a="1"/>
  <c r="J29" i="5" s="1"/>
  <c r="J28" i="5" a="1"/>
  <c r="J28" i="5" s="1"/>
  <c r="J27" i="5" a="1"/>
  <c r="J27" i="5" s="1"/>
  <c r="J26" i="5" a="1"/>
  <c r="J26" i="5" s="1"/>
  <c r="J25" i="5" a="1"/>
  <c r="J25" i="5" s="1"/>
  <c r="J24" i="5" a="1"/>
  <c r="J24" i="5" s="1"/>
  <c r="J23" i="5" a="1"/>
  <c r="J23" i="5" s="1"/>
  <c r="J22" i="5" a="1"/>
  <c r="J22" i="5" s="1"/>
  <c r="J21" i="5" a="1"/>
  <c r="J21" i="5" s="1"/>
  <c r="J20" i="5" a="1"/>
  <c r="J20" i="5" s="1"/>
  <c r="J19" i="5" a="1"/>
  <c r="J19" i="5" s="1"/>
  <c r="J18" i="5" a="1"/>
  <c r="J18" i="5" s="1"/>
  <c r="J17" i="5" a="1"/>
  <c r="J17" i="5" s="1"/>
  <c r="J16" i="5" a="1"/>
  <c r="J16" i="5" s="1"/>
  <c r="J15" i="5" a="1"/>
  <c r="J15" i="5" s="1"/>
  <c r="J14" i="5" a="1"/>
  <c r="J14" i="5" s="1"/>
  <c r="J13" i="5" a="1"/>
  <c r="J13" i="5" s="1"/>
  <c r="J12" i="5" a="1"/>
  <c r="J12" i="5" s="1"/>
  <c r="J11" i="5" a="1"/>
  <c r="J11" i="5" s="1"/>
  <c r="J10" i="5" a="1"/>
  <c r="J10" i="5" s="1"/>
  <c r="J9" i="5" a="1"/>
  <c r="J9" i="5" s="1"/>
  <c r="J8" i="5" a="1"/>
  <c r="J8" i="5" s="1"/>
  <c r="J7" i="5" a="1"/>
  <c r="J7" i="5" s="1"/>
  <c r="J6" i="5" a="1"/>
  <c r="J6" i="5" s="1"/>
  <c r="J5" i="5" a="1"/>
  <c r="J5" i="5" s="1"/>
  <c r="J4" i="5" a="1"/>
  <c r="J4" i="5" s="1"/>
  <c r="J3" i="6" a="1"/>
  <c r="J3" i="6" s="1"/>
  <c r="J4" i="6" a="1"/>
  <c r="J4" i="6" s="1"/>
  <c r="J5" i="6" a="1"/>
  <c r="J5" i="6" s="1"/>
  <c r="J6" i="6" a="1"/>
  <c r="J6" i="6" s="1"/>
  <c r="J7" i="6" a="1"/>
  <c r="J7" i="6" s="1"/>
  <c r="J8" i="6" a="1"/>
  <c r="J8" i="6" s="1"/>
  <c r="J9" i="6" a="1"/>
  <c r="J9" i="6" s="1"/>
  <c r="J10" i="6" a="1"/>
  <c r="J10" i="6" s="1"/>
  <c r="J11" i="6" a="1"/>
  <c r="J11" i="6" s="1"/>
  <c r="J12" i="6" a="1"/>
  <c r="J12" i="6" s="1"/>
  <c r="J13" i="6" a="1"/>
  <c r="J13" i="6" s="1"/>
  <c r="J14" i="6" a="1"/>
  <c r="J14" i="6" s="1"/>
  <c r="J15" i="6" a="1"/>
  <c r="J15" i="6" s="1"/>
  <c r="J16" i="6" a="1"/>
  <c r="J16" i="6" s="1"/>
  <c r="J17" i="6" a="1"/>
  <c r="J17" i="6" s="1"/>
  <c r="J18" i="6" a="1"/>
  <c r="J18" i="6" s="1"/>
  <c r="J19" i="6" a="1"/>
  <c r="J19" i="6" s="1"/>
  <c r="J20" i="6" a="1"/>
  <c r="J20" i="6" s="1"/>
  <c r="J21" i="6" a="1"/>
  <c r="J21" i="6" s="1"/>
  <c r="J22" i="6" a="1"/>
  <c r="J22" i="6"/>
  <c r="J23" i="6" a="1"/>
  <c r="J23" i="6" s="1"/>
  <c r="J24" i="6" a="1"/>
  <c r="J24" i="6" s="1"/>
  <c r="J25" i="6" a="1"/>
  <c r="J25" i="6"/>
  <c r="J26" i="6" a="1"/>
  <c r="J26" i="6"/>
  <c r="J27" i="6" a="1"/>
  <c r="J27" i="6" s="1"/>
  <c r="J28" i="6" a="1"/>
  <c r="J28" i="6" s="1"/>
  <c r="J29" i="6" a="1"/>
  <c r="J29" i="6"/>
  <c r="J30" i="6" a="1"/>
  <c r="J30" i="6"/>
  <c r="J31" i="6" a="1"/>
  <c r="J31" i="6" s="1"/>
  <c r="J32" i="6" a="1"/>
  <c r="J32" i="6" s="1"/>
  <c r="J33" i="6" a="1"/>
  <c r="J33" i="6" s="1"/>
  <c r="J34" i="6" a="1"/>
  <c r="J34" i="6" s="1"/>
  <c r="J35" i="6" a="1"/>
  <c r="J35" i="6" s="1"/>
  <c r="J36" i="6" a="1"/>
  <c r="J36" i="6" s="1"/>
  <c r="J37" i="6" a="1"/>
  <c r="J37" i="6" s="1"/>
  <c r="J38" i="6" a="1"/>
  <c r="J38" i="6" s="1"/>
  <c r="J39" i="6" a="1"/>
  <c r="J39" i="6" s="1"/>
  <c r="J40" i="6" a="1"/>
  <c r="J40" i="6" s="1"/>
  <c r="J41" i="6" a="1"/>
  <c r="J41" i="6" s="1"/>
  <c r="J42" i="6" a="1"/>
  <c r="J42" i="6" s="1"/>
  <c r="J43" i="6" a="1"/>
  <c r="J43" i="6" s="1"/>
  <c r="J44" i="6" a="1"/>
  <c r="J44" i="6" s="1"/>
  <c r="J45" i="6" a="1"/>
  <c r="J45" i="6" s="1"/>
  <c r="J46" i="6" a="1"/>
  <c r="J46" i="6" s="1"/>
  <c r="J47" i="6" a="1"/>
  <c r="J47" i="6" s="1"/>
  <c r="J48" i="6" a="1"/>
  <c r="J48" i="6" s="1"/>
  <c r="J49" i="6" a="1"/>
  <c r="J49" i="6" s="1"/>
  <c r="J50" i="6" a="1"/>
  <c r="J50" i="6" s="1"/>
  <c r="J51" i="6" a="1"/>
  <c r="J51" i="6" s="1"/>
  <c r="J52" i="6" a="1"/>
  <c r="J52" i="6" s="1"/>
  <c r="J53" i="6" a="1"/>
  <c r="J53" i="6" s="1"/>
  <c r="J54" i="6" a="1"/>
  <c r="J54" i="6" s="1"/>
  <c r="J55" i="6" a="1"/>
  <c r="J55" i="6" s="1"/>
  <c r="J56" i="6" a="1"/>
  <c r="J56" i="6" s="1"/>
  <c r="J57" i="6" a="1"/>
  <c r="J57" i="6" s="1"/>
  <c r="J58" i="6" a="1"/>
  <c r="J58" i="6" s="1"/>
  <c r="J59" i="6" a="1"/>
  <c r="J59" i="6" s="1"/>
  <c r="J60" i="6" a="1"/>
  <c r="J60" i="6" s="1"/>
  <c r="J61" i="6" a="1"/>
  <c r="J61" i="6" s="1"/>
  <c r="J2" i="6" a="1"/>
  <c r="J2" i="6" s="1"/>
  <c r="H1" i="6"/>
  <c r="I1" i="6" s="1"/>
  <c r="H1" i="5"/>
  <c r="H1" i="2"/>
  <c r="I1" i="2" s="1"/>
  <c r="I1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<sst xmlns="http://schemas.openxmlformats.org/spreadsheetml/2006/main" count="30" uniqueCount="9">
  <si>
    <t>group</t>
    <phoneticPr fontId="1"/>
  </si>
  <si>
    <t xml:space="preserve">number </t>
    <phoneticPr fontId="1"/>
  </si>
  <si>
    <t>weight</t>
    <phoneticPr fontId="1"/>
  </si>
  <si>
    <t>CFU/ml</t>
    <phoneticPr fontId="1"/>
  </si>
  <si>
    <t>CFU/g</t>
    <phoneticPr fontId="1"/>
  </si>
  <si>
    <t>CFU</t>
    <phoneticPr fontId="1"/>
  </si>
  <si>
    <t>&gt;200</t>
    <phoneticPr fontId="1"/>
  </si>
  <si>
    <t>大コロニー</t>
  </si>
  <si>
    <t>log_CFU/g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</si>
</sst>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E+00"/>
    <numFmt numFmtId="177" formatCode="0.E+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94AD-04B9-4B8F-BD28-543AA72CDC85}">
  <dimension ref="A1:L61"/>
  <sheetViews>
    <sheetView workbookViewId="0">
      <pane ySplit="1" topLeftCell="A2" activePane="bottomLeft" state="frozen"/>
      <selection pane="bottomLeft" activeCell="J4" sqref="J4"/>
    </sheetView>
  </sheetViews>
  <sheetFormatPr defaultRowHeight="18.75" x14ac:dyDescent="0.4"/>
  <cols>
    <col min="10" max="10" width="9.5" customWidth="1"/>
    <col min="11" max="11" width="10.375" bestFit="1" customWidth="1"/>
  </cols>
  <sheetData>
    <row r="1" spans="1:12" x14ac:dyDescent="0.4">
      <c r="A1" t="s">
        <v>0</v>
      </c>
      <c r="B1" t="s">
        <v>1</v>
      </c>
      <c r="C1" s="1">
        <v>1</v>
      </c>
      <c r="D1" s="1">
        <v>10</v>
      </c>
      <c r="E1" s="1">
        <v>100</v>
      </c>
      <c r="F1" s="2">
        <v>1000</v>
      </c>
      <c r="G1" s="1">
        <v>10000</v>
      </c>
      <c r="H1" s="1">
        <f>G1*10</f>
        <v>100000</v>
      </c>
      <c r="I1" s="1">
        <f>H1*10</f>
        <v>1000000</v>
      </c>
      <c r="J1" s="4" t="s">
        <v>5</v>
      </c>
      <c r="K1" t="s">
        <v>7</v>
      </c>
    </row>
    <row r="2" spans="1:12" x14ac:dyDescent="0.4">
      <c r="A2">
        <v>1</v>
      </c>
      <c r="B2">
        <v>1</v>
      </c>
      <c r="C2" s="3">
        <v>13</v>
      </c>
      <c r="D2" s="3"/>
      <c r="E2" s="3">
        <v>2</v>
      </c>
      <c r="F2" s="3"/>
      <c r="G2" s="3"/>
      <c r="H2" s="3"/>
      <c r="I2" s="3"/>
      <c r="J2" s="6" cm="1">
        <f t="array" ref="J2">_xlfn.LET(
  _xlpm.rng, C2:I2,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13</v>
      </c>
      <c r="L2" t="str">
        <f>IF(J2&gt;0,_xlfn.CONCAT(A2,"-",B2," ","肝"),"")</f>
        <v>1-1 肝</v>
      </c>
    </row>
    <row r="3" spans="1:12" x14ac:dyDescent="0.4">
      <c r="A3">
        <v>1</v>
      </c>
      <c r="B3">
        <v>2</v>
      </c>
      <c r="C3" s="3">
        <v>0</v>
      </c>
      <c r="D3" s="3"/>
      <c r="E3" s="3"/>
      <c r="F3" s="3"/>
      <c r="G3" s="3"/>
      <c r="H3" s="3"/>
      <c r="I3" s="3"/>
      <c r="J3" s="6" cm="1">
        <f t="array" ref="J3">_xlfn.LET(
  _xlpm.rng, C3:I3,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3" t="str">
        <f t="shared" ref="L3:L61" si="0">IF(J3&gt;0,_xlfn.CONCAT(A3,"-",B3," ","肝"),"")</f>
        <v/>
      </c>
    </row>
    <row r="4" spans="1:12" x14ac:dyDescent="0.4">
      <c r="A4">
        <v>1</v>
      </c>
      <c r="B4">
        <v>3</v>
      </c>
      <c r="C4" s="3">
        <v>0</v>
      </c>
      <c r="D4" s="3"/>
      <c r="E4" s="3"/>
      <c r="F4" s="3"/>
      <c r="G4" s="3"/>
      <c r="H4" s="3"/>
      <c r="I4" s="3"/>
      <c r="J4" s="6" cm="1">
        <f t="array" ref="J4">_xlfn.LET(
  _xlpm.rng, C4:I4,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" t="str">
        <f t="shared" si="0"/>
        <v/>
      </c>
    </row>
    <row r="5" spans="1:12" x14ac:dyDescent="0.4">
      <c r="A5">
        <v>1</v>
      </c>
      <c r="B5">
        <v>4</v>
      </c>
      <c r="C5" s="3">
        <v>0</v>
      </c>
      <c r="D5" s="3"/>
      <c r="E5" s="3"/>
      <c r="F5" s="3"/>
      <c r="G5" s="3"/>
      <c r="H5" s="3"/>
      <c r="I5" s="3"/>
      <c r="J5" s="6" cm="1">
        <f t="array" ref="J5">_xlfn.LET(
  _xlpm.rng, C5:I5,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5" t="str">
        <f t="shared" si="0"/>
        <v/>
      </c>
    </row>
    <row r="6" spans="1:12" x14ac:dyDescent="0.4">
      <c r="A6">
        <v>1</v>
      </c>
      <c r="B6">
        <v>5</v>
      </c>
      <c r="C6" s="3">
        <v>2</v>
      </c>
      <c r="D6" s="3"/>
      <c r="E6" s="3"/>
      <c r="F6" s="3"/>
      <c r="G6" s="3"/>
      <c r="H6" s="3"/>
      <c r="I6" s="3"/>
      <c r="J6" s="6" cm="1">
        <f t="array" ref="J6">_xlfn.LET(
  _xlpm.rng, C6:I6,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</v>
      </c>
      <c r="L6" t="str">
        <f t="shared" si="0"/>
        <v>1-5 肝</v>
      </c>
    </row>
    <row r="7" spans="1:12" x14ac:dyDescent="0.4">
      <c r="A7">
        <v>1</v>
      </c>
      <c r="B7">
        <v>6</v>
      </c>
      <c r="C7" s="3">
        <v>0</v>
      </c>
      <c r="D7" s="3"/>
      <c r="E7" s="3"/>
      <c r="F7" s="3"/>
      <c r="G7" s="3"/>
      <c r="H7" s="3"/>
      <c r="I7" s="3"/>
      <c r="J7" s="6" cm="1">
        <f t="array" ref="J7">_xlfn.LET(
  _xlpm.rng, C7:I7,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7" t="str">
        <f t="shared" si="0"/>
        <v/>
      </c>
    </row>
    <row r="8" spans="1:12" x14ac:dyDescent="0.4">
      <c r="A8">
        <v>1</v>
      </c>
      <c r="B8">
        <v>7</v>
      </c>
      <c r="C8" s="3"/>
      <c r="D8" s="3"/>
      <c r="E8" s="3"/>
      <c r="F8" s="3"/>
      <c r="G8" s="3"/>
      <c r="H8" s="3">
        <v>26</v>
      </c>
      <c r="I8" s="3"/>
      <c r="J8" s="6" cm="1">
        <f t="array" ref="J8">_xlfn.LET(
  _xlpm.rng, C8:I8,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2600000</v>
      </c>
      <c r="L8" t="str">
        <f t="shared" si="0"/>
        <v>1-7 肝</v>
      </c>
    </row>
    <row r="9" spans="1:12" x14ac:dyDescent="0.4">
      <c r="A9">
        <v>1</v>
      </c>
      <c r="B9">
        <v>8</v>
      </c>
      <c r="C9" s="3">
        <v>0</v>
      </c>
      <c r="D9" s="3"/>
      <c r="E9" s="3"/>
      <c r="F9" s="3"/>
      <c r="G9" s="3"/>
      <c r="H9" s="3"/>
      <c r="I9" s="3"/>
      <c r="J9" s="6" cm="1">
        <f t="array" ref="J9">_xlfn.LET(
  _xlpm.rng, C9:I9,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9" t="str">
        <f t="shared" si="0"/>
        <v/>
      </c>
    </row>
    <row r="10" spans="1:12" x14ac:dyDescent="0.4">
      <c r="A10">
        <v>1</v>
      </c>
      <c r="B10">
        <v>9</v>
      </c>
      <c r="C10" s="3">
        <v>0</v>
      </c>
      <c r="D10" s="3"/>
      <c r="E10" s="3"/>
      <c r="F10" s="3"/>
      <c r="G10" s="3"/>
      <c r="H10" s="3"/>
      <c r="I10" s="3"/>
      <c r="J10" s="6" cm="1">
        <f t="array" ref="J10">_xlfn.LET(
  _xlpm.rng, C10:I10,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0" t="str">
        <f t="shared" si="0"/>
        <v/>
      </c>
    </row>
    <row r="11" spans="1:12" x14ac:dyDescent="0.4">
      <c r="A11">
        <v>1</v>
      </c>
      <c r="B11">
        <v>10</v>
      </c>
      <c r="C11" s="3">
        <v>0</v>
      </c>
      <c r="D11" s="3"/>
      <c r="E11" s="3"/>
      <c r="F11" s="3"/>
      <c r="G11" s="3"/>
      <c r="H11" s="3"/>
      <c r="I11" s="3"/>
      <c r="J11" s="6" cm="1">
        <f t="array" ref="J11">_xlfn.LET(
  _xlpm.rng, C11:I11,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1" t="str">
        <f t="shared" si="0"/>
        <v/>
      </c>
    </row>
    <row r="12" spans="1:12" x14ac:dyDescent="0.4">
      <c r="A12">
        <v>2</v>
      </c>
      <c r="B12">
        <v>1</v>
      </c>
      <c r="C12" s="3">
        <v>0</v>
      </c>
      <c r="D12" s="3"/>
      <c r="E12" s="3"/>
      <c r="F12" s="3"/>
      <c r="G12" s="3"/>
      <c r="H12" s="3"/>
      <c r="I12" s="3"/>
      <c r="J12" s="6" cm="1">
        <f t="array" ref="J12">_xlfn.LET(
  _xlpm.rng, C12:I12,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2" t="str">
        <f t="shared" si="0"/>
        <v/>
      </c>
    </row>
    <row r="13" spans="1:12" x14ac:dyDescent="0.4">
      <c r="A13">
        <v>2</v>
      </c>
      <c r="B13">
        <v>2</v>
      </c>
      <c r="C13" s="3">
        <v>0</v>
      </c>
      <c r="D13" s="3"/>
      <c r="E13" s="3"/>
      <c r="F13" s="3"/>
      <c r="G13" s="3"/>
      <c r="H13" s="3"/>
      <c r="I13" s="3"/>
      <c r="J13" s="6" cm="1">
        <f t="array" ref="J13">_xlfn.LET(
  _xlpm.rng, C13:I13,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3" t="str">
        <f t="shared" si="0"/>
        <v/>
      </c>
    </row>
    <row r="14" spans="1:12" x14ac:dyDescent="0.4">
      <c r="A14">
        <v>2</v>
      </c>
      <c r="B14">
        <v>3</v>
      </c>
      <c r="C14" s="3"/>
      <c r="D14" s="3"/>
      <c r="E14" s="3">
        <v>9</v>
      </c>
      <c r="F14" s="3"/>
      <c r="G14" s="3"/>
      <c r="H14" s="3"/>
      <c r="I14" s="3"/>
      <c r="J14" s="6" cm="1">
        <f t="array" ref="J14">_xlfn.LET(
  _xlpm.rng, C14:I14,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900</v>
      </c>
      <c r="L14" t="str">
        <f t="shared" si="0"/>
        <v>2-3 肝</v>
      </c>
    </row>
    <row r="15" spans="1:12" x14ac:dyDescent="0.4">
      <c r="A15">
        <v>2</v>
      </c>
      <c r="B15">
        <v>4</v>
      </c>
      <c r="C15" s="3">
        <v>6</v>
      </c>
      <c r="D15" s="3"/>
      <c r="E15" s="3"/>
      <c r="F15" s="3"/>
      <c r="G15" s="3"/>
      <c r="H15" s="3"/>
      <c r="I15" s="3"/>
      <c r="J15" s="6" cm="1">
        <f t="array" ref="J15">_xlfn.LET(
  _xlpm.rng, C15:I15,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6</v>
      </c>
      <c r="L15" t="str">
        <f t="shared" si="0"/>
        <v>2-4 肝</v>
      </c>
    </row>
    <row r="16" spans="1:12" x14ac:dyDescent="0.4">
      <c r="A16">
        <v>2</v>
      </c>
      <c r="B16">
        <v>5</v>
      </c>
      <c r="C16" s="3">
        <v>1</v>
      </c>
      <c r="D16" s="3"/>
      <c r="E16" s="3"/>
      <c r="F16" s="3"/>
      <c r="G16" s="3"/>
      <c r="H16" s="3"/>
      <c r="I16" s="3"/>
      <c r="J16" s="6" cm="1">
        <f t="array" ref="J16">_xlfn.LET(
  _xlpm.rng, C16:I16,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</v>
      </c>
      <c r="L16" t="str">
        <f t="shared" si="0"/>
        <v>2-5 肝</v>
      </c>
    </row>
    <row r="17" spans="1:12" x14ac:dyDescent="0.4">
      <c r="A17">
        <v>2</v>
      </c>
      <c r="B17">
        <v>6</v>
      </c>
      <c r="C17" s="3">
        <v>5</v>
      </c>
      <c r="D17" s="3"/>
      <c r="E17" s="3"/>
      <c r="F17" s="3"/>
      <c r="G17" s="3"/>
      <c r="H17" s="3"/>
      <c r="I17" s="3"/>
      <c r="J17" s="6" cm="1">
        <f t="array" ref="J17">_xlfn.LET(
  _xlpm.rng, C17:I17,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5</v>
      </c>
      <c r="L17" t="str">
        <f t="shared" si="0"/>
        <v>2-6 肝</v>
      </c>
    </row>
    <row r="18" spans="1:12" x14ac:dyDescent="0.4">
      <c r="A18">
        <v>2</v>
      </c>
      <c r="B18">
        <v>7</v>
      </c>
      <c r="C18" s="3">
        <v>0</v>
      </c>
      <c r="D18" s="3"/>
      <c r="E18" s="3"/>
      <c r="F18" s="3"/>
      <c r="G18" s="3"/>
      <c r="H18" s="3"/>
      <c r="I18" s="3"/>
      <c r="J18" s="6" cm="1">
        <f t="array" ref="J18">_xlfn.LET(
  _xlpm.rng, C18:I18,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8" t="str">
        <f t="shared" si="0"/>
        <v/>
      </c>
    </row>
    <row r="19" spans="1:12" x14ac:dyDescent="0.4">
      <c r="A19">
        <v>2</v>
      </c>
      <c r="B19">
        <v>8</v>
      </c>
      <c r="C19" s="3">
        <v>0</v>
      </c>
      <c r="D19" s="3"/>
      <c r="E19" s="3"/>
      <c r="F19" s="3"/>
      <c r="G19" s="3"/>
      <c r="H19" s="3"/>
      <c r="I19" s="3"/>
      <c r="J19" s="6" cm="1">
        <f t="array" ref="J19">_xlfn.LET(
  _xlpm.rng, C19:I19,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9" t="str">
        <f t="shared" si="0"/>
        <v/>
      </c>
    </row>
    <row r="20" spans="1:12" x14ac:dyDescent="0.4">
      <c r="A20">
        <v>2</v>
      </c>
      <c r="B20">
        <v>9</v>
      </c>
      <c r="C20" s="3">
        <v>0</v>
      </c>
      <c r="D20" s="3"/>
      <c r="E20" s="3"/>
      <c r="F20" s="3"/>
      <c r="G20" s="3"/>
      <c r="H20" s="3"/>
      <c r="I20" s="3"/>
      <c r="J20" s="6" cm="1">
        <f t="array" ref="J20">_xlfn.LET(
  _xlpm.rng, C20:I20,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20" t="str">
        <f t="shared" si="0"/>
        <v/>
      </c>
    </row>
    <row r="21" spans="1:12" x14ac:dyDescent="0.4">
      <c r="A21">
        <v>2</v>
      </c>
      <c r="B21">
        <v>10</v>
      </c>
      <c r="C21" s="3">
        <v>2</v>
      </c>
      <c r="D21" s="3"/>
      <c r="E21" s="3"/>
      <c r="F21" s="3"/>
      <c r="G21" s="3"/>
      <c r="H21" s="3"/>
      <c r="I21" s="3"/>
      <c r="J21" s="6" cm="1">
        <f t="array" ref="J21">_xlfn.LET(
  _xlpm.rng, C21:I21,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</v>
      </c>
      <c r="L21" t="str">
        <f t="shared" si="0"/>
        <v>2-10 肝</v>
      </c>
    </row>
    <row r="22" spans="1:12" x14ac:dyDescent="0.4">
      <c r="A22">
        <v>3</v>
      </c>
      <c r="B22">
        <v>1</v>
      </c>
      <c r="C22" s="3">
        <v>13</v>
      </c>
      <c r="D22" s="3"/>
      <c r="E22" s="3"/>
      <c r="F22" s="3"/>
      <c r="G22" s="3"/>
      <c r="H22" s="3"/>
      <c r="I22" s="3"/>
      <c r="J22" s="6" cm="1">
        <f t="array" ref="J22">_xlfn.LET(
  _xlpm.rng, C22:I22,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13</v>
      </c>
      <c r="L22" t="str">
        <f t="shared" si="0"/>
        <v>3-1 肝</v>
      </c>
    </row>
    <row r="23" spans="1:12" x14ac:dyDescent="0.4">
      <c r="A23">
        <v>3</v>
      </c>
      <c r="B23">
        <v>2</v>
      </c>
      <c r="C23" s="3">
        <v>5</v>
      </c>
      <c r="D23" s="3"/>
      <c r="E23" s="3"/>
      <c r="F23" s="3"/>
      <c r="G23" s="3"/>
      <c r="H23" s="3"/>
      <c r="I23" s="3"/>
      <c r="J23" s="6" cm="1">
        <f t="array" ref="J23">_xlfn.LET(
  _xlpm.rng, C23:I23,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5</v>
      </c>
      <c r="L23" t="str">
        <f t="shared" si="0"/>
        <v>3-2 肝</v>
      </c>
    </row>
    <row r="24" spans="1:12" x14ac:dyDescent="0.4">
      <c r="A24">
        <v>3</v>
      </c>
      <c r="B24">
        <v>3</v>
      </c>
      <c r="C24" s="3">
        <v>1</v>
      </c>
      <c r="D24" s="3"/>
      <c r="E24" s="3"/>
      <c r="F24" s="3"/>
      <c r="G24" s="3"/>
      <c r="H24" s="3"/>
      <c r="I24" s="3"/>
      <c r="J24" s="6" cm="1">
        <f t="array" ref="J24">_xlfn.LET(
  _xlpm.rng, C24:I24,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</v>
      </c>
      <c r="L24" t="str">
        <f t="shared" si="0"/>
        <v>3-3 肝</v>
      </c>
    </row>
    <row r="25" spans="1:12" x14ac:dyDescent="0.4">
      <c r="A25">
        <v>3</v>
      </c>
      <c r="B25">
        <v>4</v>
      </c>
      <c r="C25" s="3"/>
      <c r="D25" s="3"/>
      <c r="E25" s="3"/>
      <c r="F25" s="3"/>
      <c r="G25" s="3"/>
      <c r="H25" s="3">
        <v>96</v>
      </c>
      <c r="I25" s="3"/>
      <c r="J25" s="6" cm="1">
        <f t="array" ref="J25">_xlfn.LET(
  _xlpm.rng, C25:I25,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9600000</v>
      </c>
      <c r="L25" t="str">
        <f t="shared" si="0"/>
        <v>3-4 肝</v>
      </c>
    </row>
    <row r="26" spans="1:12" x14ac:dyDescent="0.4">
      <c r="A26">
        <v>3</v>
      </c>
      <c r="B26">
        <v>5</v>
      </c>
      <c r="C26" s="3">
        <v>1</v>
      </c>
      <c r="D26" s="3"/>
      <c r="E26" s="3"/>
      <c r="F26" s="3"/>
      <c r="G26" s="3"/>
      <c r="H26" s="3"/>
      <c r="I26" s="3"/>
      <c r="J26" s="6" cm="1">
        <f t="array" ref="J26">_xlfn.LET(
  _xlpm.rng, C26:I26,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</v>
      </c>
      <c r="L26" t="str">
        <f t="shared" si="0"/>
        <v>3-5 肝</v>
      </c>
    </row>
    <row r="27" spans="1:12" x14ac:dyDescent="0.4">
      <c r="A27">
        <v>3</v>
      </c>
      <c r="B27">
        <v>6</v>
      </c>
      <c r="C27" s="3">
        <v>0</v>
      </c>
      <c r="D27" s="3"/>
      <c r="E27" s="3"/>
      <c r="F27" s="3"/>
      <c r="G27" s="3"/>
      <c r="H27" s="3"/>
      <c r="I27" s="3"/>
      <c r="J27" s="6" cm="1">
        <f t="array" ref="J27">_xlfn.LET(
  _xlpm.rng, C27:I27,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27" t="str">
        <f t="shared" si="0"/>
        <v/>
      </c>
    </row>
    <row r="28" spans="1:12" x14ac:dyDescent="0.4">
      <c r="A28">
        <v>3</v>
      </c>
      <c r="B28">
        <v>7</v>
      </c>
      <c r="C28" s="3">
        <v>21</v>
      </c>
      <c r="D28" s="3"/>
      <c r="E28" s="3"/>
      <c r="F28" s="3"/>
      <c r="G28" s="3"/>
      <c r="H28" s="3"/>
      <c r="I28" s="3"/>
      <c r="J28" s="6" cm="1">
        <f t="array" ref="J28">_xlfn.LET(
  _xlpm.rng, C28:I28,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21</v>
      </c>
      <c r="L28" t="str">
        <f t="shared" si="0"/>
        <v>3-7 肝</v>
      </c>
    </row>
    <row r="29" spans="1:12" x14ac:dyDescent="0.4">
      <c r="A29">
        <v>3</v>
      </c>
      <c r="B29">
        <v>8</v>
      </c>
      <c r="C29" s="3">
        <v>0</v>
      </c>
      <c r="D29" s="3"/>
      <c r="E29" s="3"/>
      <c r="F29" s="3"/>
      <c r="G29" s="3"/>
      <c r="H29" s="3"/>
      <c r="I29" s="3"/>
      <c r="J29" s="6" cm="1">
        <f t="array" ref="J29">_xlfn.LET(
  _xlpm.rng, C29:I29,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29" t="str">
        <f t="shared" si="0"/>
        <v/>
      </c>
    </row>
    <row r="30" spans="1:12" x14ac:dyDescent="0.4">
      <c r="A30">
        <v>3</v>
      </c>
      <c r="B30">
        <v>9</v>
      </c>
      <c r="C30" s="3">
        <v>8</v>
      </c>
      <c r="D30" s="3"/>
      <c r="E30" s="3"/>
      <c r="F30" s="3"/>
      <c r="G30" s="3"/>
      <c r="H30" s="3"/>
      <c r="I30" s="3"/>
      <c r="J30" s="6" cm="1">
        <f t="array" ref="J30">_xlfn.LET(
  _xlpm.rng, C30:I30,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8</v>
      </c>
      <c r="L30" t="str">
        <f t="shared" si="0"/>
        <v>3-9 肝</v>
      </c>
    </row>
    <row r="31" spans="1:12" x14ac:dyDescent="0.4">
      <c r="A31">
        <v>3</v>
      </c>
      <c r="B31">
        <v>10</v>
      </c>
      <c r="C31" s="3">
        <v>0</v>
      </c>
      <c r="D31" s="3"/>
      <c r="E31" s="3"/>
      <c r="F31" s="3"/>
      <c r="G31" s="3"/>
      <c r="H31" s="3"/>
      <c r="I31" s="3"/>
      <c r="J31" s="6" cm="1">
        <f t="array" ref="J31">_xlfn.LET(
  _xlpm.rng, C31:I31,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31" t="str">
        <f t="shared" si="0"/>
        <v/>
      </c>
    </row>
    <row r="32" spans="1:12" x14ac:dyDescent="0.4">
      <c r="A32">
        <v>4</v>
      </c>
      <c r="B32">
        <v>1</v>
      </c>
      <c r="C32" s="3">
        <v>1</v>
      </c>
      <c r="D32" s="3"/>
      <c r="E32" s="3"/>
      <c r="F32" s="3"/>
      <c r="G32" s="3"/>
      <c r="H32" s="3"/>
      <c r="I32" s="3"/>
      <c r="J32" s="6" cm="1">
        <f t="array" ref="J32">_xlfn.LET(
  _xlpm.rng, C32:I32,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</v>
      </c>
      <c r="L32" t="str">
        <f t="shared" si="0"/>
        <v>4-1 肝</v>
      </c>
    </row>
    <row r="33" spans="1:12" x14ac:dyDescent="0.4">
      <c r="A33">
        <v>4</v>
      </c>
      <c r="B33">
        <v>2</v>
      </c>
      <c r="C33" s="3">
        <v>0</v>
      </c>
      <c r="D33" s="3"/>
      <c r="E33" s="3"/>
      <c r="F33" s="3"/>
      <c r="G33" s="3"/>
      <c r="H33" s="3"/>
      <c r="I33" s="3"/>
      <c r="J33" s="6" cm="1">
        <f t="array" ref="J33">_xlfn.LET(
  _xlpm.rng, C33:I33,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33" t="str">
        <f t="shared" si="0"/>
        <v/>
      </c>
    </row>
    <row r="34" spans="1:12" x14ac:dyDescent="0.4">
      <c r="A34">
        <v>4</v>
      </c>
      <c r="B34">
        <v>3</v>
      </c>
      <c r="C34" s="3">
        <v>0</v>
      </c>
      <c r="D34" s="3"/>
      <c r="E34" s="3"/>
      <c r="F34" s="3"/>
      <c r="G34" s="3"/>
      <c r="H34" s="3"/>
      <c r="I34" s="3"/>
      <c r="J34" s="6" cm="1">
        <f t="array" ref="J34">_xlfn.LET(
  _xlpm.rng, C34:I34,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34" t="str">
        <f t="shared" si="0"/>
        <v/>
      </c>
    </row>
    <row r="35" spans="1:12" x14ac:dyDescent="0.4">
      <c r="A35">
        <v>4</v>
      </c>
      <c r="B35">
        <v>4</v>
      </c>
      <c r="C35" s="3">
        <v>90</v>
      </c>
      <c r="D35" s="3"/>
      <c r="E35" s="3">
        <v>14</v>
      </c>
      <c r="F35" s="3"/>
      <c r="G35" s="3"/>
      <c r="H35" s="3"/>
      <c r="I35" s="3"/>
      <c r="J35" s="6" cm="1">
        <f t="array" ref="J35">_xlfn.LET(
  _xlpm.rng, C35:I35,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90</v>
      </c>
      <c r="L35" t="str">
        <f t="shared" si="0"/>
        <v>4-4 肝</v>
      </c>
    </row>
    <row r="36" spans="1:12" x14ac:dyDescent="0.4">
      <c r="A36">
        <v>4</v>
      </c>
      <c r="B36">
        <v>5</v>
      </c>
      <c r="C36" s="3">
        <v>6</v>
      </c>
      <c r="D36" s="3"/>
      <c r="E36" s="3"/>
      <c r="F36" s="3"/>
      <c r="G36" s="3"/>
      <c r="H36" s="3"/>
      <c r="I36" s="3"/>
      <c r="J36" s="6" cm="1">
        <f t="array" ref="J36">_xlfn.LET(
  _xlpm.rng, C36:I36,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6</v>
      </c>
      <c r="L36" t="str">
        <f t="shared" si="0"/>
        <v>4-5 肝</v>
      </c>
    </row>
    <row r="37" spans="1:12" x14ac:dyDescent="0.4">
      <c r="A37">
        <v>4</v>
      </c>
      <c r="B37">
        <v>6</v>
      </c>
      <c r="C37" s="3">
        <v>0</v>
      </c>
      <c r="D37" s="3"/>
      <c r="E37" s="3"/>
      <c r="F37" s="3"/>
      <c r="G37" s="3"/>
      <c r="H37" s="3"/>
      <c r="I37" s="3"/>
      <c r="J37" s="6" cm="1">
        <f t="array" ref="J37">_xlfn.LET(
  _xlpm.rng, C37:I37,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37" t="str">
        <f t="shared" si="0"/>
        <v/>
      </c>
    </row>
    <row r="38" spans="1:12" x14ac:dyDescent="0.4">
      <c r="A38">
        <v>4</v>
      </c>
      <c r="B38">
        <v>7</v>
      </c>
      <c r="C38" s="3">
        <v>37</v>
      </c>
      <c r="D38" s="3"/>
      <c r="E38" s="3"/>
      <c r="F38" s="3"/>
      <c r="G38" s="3"/>
      <c r="H38" s="3"/>
      <c r="I38" s="3"/>
      <c r="J38" s="6" cm="1">
        <f t="array" ref="J38">_xlfn.LET(
  _xlpm.rng, C38:I38,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37</v>
      </c>
      <c r="L38" t="str">
        <f t="shared" si="0"/>
        <v>4-7 肝</v>
      </c>
    </row>
    <row r="39" spans="1:12" x14ac:dyDescent="0.4">
      <c r="A39">
        <v>4</v>
      </c>
      <c r="B39">
        <v>8</v>
      </c>
      <c r="C39" s="3">
        <v>5</v>
      </c>
      <c r="D39" s="3"/>
      <c r="E39" s="3"/>
      <c r="F39" s="3"/>
      <c r="G39" s="3"/>
      <c r="H39" s="3"/>
      <c r="I39" s="3"/>
      <c r="J39" s="6" cm="1">
        <f t="array" ref="J39">_xlfn.LET(
  _xlpm.rng, C39:I39,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5</v>
      </c>
      <c r="L39" t="str">
        <f t="shared" si="0"/>
        <v>4-8 肝</v>
      </c>
    </row>
    <row r="40" spans="1:12" x14ac:dyDescent="0.4">
      <c r="A40">
        <v>4</v>
      </c>
      <c r="B40">
        <v>9</v>
      </c>
      <c r="C40" s="3">
        <v>45</v>
      </c>
      <c r="D40" s="3"/>
      <c r="E40" s="3"/>
      <c r="F40" s="3"/>
      <c r="G40" s="3"/>
      <c r="H40" s="3"/>
      <c r="I40" s="3"/>
      <c r="J40" s="6" cm="1">
        <f t="array" ref="J40">_xlfn.LET(
  _xlpm.rng, C40:I40,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45</v>
      </c>
      <c r="L40" t="str">
        <f t="shared" si="0"/>
        <v>4-9 肝</v>
      </c>
    </row>
    <row r="41" spans="1:12" x14ac:dyDescent="0.4">
      <c r="A41">
        <v>4</v>
      </c>
      <c r="B41">
        <v>10</v>
      </c>
      <c r="C41" s="3">
        <v>0</v>
      </c>
      <c r="D41" s="3"/>
      <c r="E41" s="3"/>
      <c r="F41" s="3"/>
      <c r="G41" s="3"/>
      <c r="H41" s="3"/>
      <c r="I41" s="3"/>
      <c r="J41" s="6" cm="1">
        <f t="array" ref="J41">_xlfn.LET(
  _xlpm.rng, C41:I41,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1" t="str">
        <f t="shared" si="0"/>
        <v/>
      </c>
    </row>
    <row r="42" spans="1:12" x14ac:dyDescent="0.4">
      <c r="A42">
        <v>5</v>
      </c>
      <c r="B42">
        <v>1</v>
      </c>
      <c r="C42" s="3">
        <v>0</v>
      </c>
      <c r="D42" s="3"/>
      <c r="E42" s="3"/>
      <c r="F42" s="3"/>
      <c r="G42" s="3"/>
      <c r="H42" s="3"/>
      <c r="I42" s="3"/>
      <c r="J42" s="6" cm="1">
        <f t="array" ref="J42">_xlfn.LET(
  _xlpm.rng, C42:I42,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2" t="str">
        <f t="shared" si="0"/>
        <v/>
      </c>
    </row>
    <row r="43" spans="1:12" x14ac:dyDescent="0.4">
      <c r="A43">
        <v>5</v>
      </c>
      <c r="B43">
        <v>2</v>
      </c>
      <c r="C43" s="3">
        <v>25</v>
      </c>
      <c r="D43" s="3"/>
      <c r="E43" s="3"/>
      <c r="F43" s="3"/>
      <c r="G43" s="3"/>
      <c r="H43" s="3"/>
      <c r="I43" s="3"/>
      <c r="J43" s="6" cm="1">
        <f t="array" ref="J43">_xlfn.LET(
  _xlpm.rng, C43:I43,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25</v>
      </c>
      <c r="L43" t="str">
        <f t="shared" si="0"/>
        <v>5-2 肝</v>
      </c>
    </row>
    <row r="44" spans="1:12" x14ac:dyDescent="0.4">
      <c r="A44">
        <v>5</v>
      </c>
      <c r="B44">
        <v>3</v>
      </c>
      <c r="C44" s="3">
        <v>88</v>
      </c>
      <c r="D44" s="3"/>
      <c r="E44" s="3"/>
      <c r="F44" s="3"/>
      <c r="G44" s="3"/>
      <c r="H44" s="3"/>
      <c r="I44" s="3"/>
      <c r="J44" s="6" cm="1">
        <f t="array" ref="J44">_xlfn.LET(
  _xlpm.rng, C44:I44,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88</v>
      </c>
      <c r="L44" t="str">
        <f t="shared" si="0"/>
        <v>5-3 肝</v>
      </c>
    </row>
    <row r="45" spans="1:12" x14ac:dyDescent="0.4">
      <c r="A45">
        <v>5</v>
      </c>
      <c r="B45">
        <v>4</v>
      </c>
      <c r="C45" s="3">
        <v>0</v>
      </c>
      <c r="D45" s="3"/>
      <c r="E45" s="3"/>
      <c r="F45" s="3"/>
      <c r="G45" s="3"/>
      <c r="H45" s="3"/>
      <c r="I45" s="3"/>
      <c r="J45" s="6" cm="1">
        <f t="array" ref="J45">_xlfn.LET(
  _xlpm.rng, C45:I45,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5" t="str">
        <f t="shared" si="0"/>
        <v/>
      </c>
    </row>
    <row r="46" spans="1:12" x14ac:dyDescent="0.4">
      <c r="A46">
        <v>5</v>
      </c>
      <c r="B46">
        <v>5</v>
      </c>
      <c r="C46" s="3">
        <v>2</v>
      </c>
      <c r="D46" s="3"/>
      <c r="E46" s="3"/>
      <c r="F46" s="3"/>
      <c r="G46" s="3"/>
      <c r="H46" s="3"/>
      <c r="I46" s="3"/>
      <c r="J46" s="6" cm="1">
        <f t="array" ref="J46">_xlfn.LET(
  _xlpm.rng, C46:I46,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</v>
      </c>
      <c r="L46" t="str">
        <f t="shared" si="0"/>
        <v>5-5 肝</v>
      </c>
    </row>
    <row r="47" spans="1:12" x14ac:dyDescent="0.4">
      <c r="A47">
        <v>5</v>
      </c>
      <c r="B47">
        <v>6</v>
      </c>
      <c r="C47" s="3">
        <v>0</v>
      </c>
      <c r="D47" s="3"/>
      <c r="E47" s="3"/>
      <c r="F47" s="3"/>
      <c r="G47" s="3"/>
      <c r="H47" s="3"/>
      <c r="I47" s="3"/>
      <c r="J47" s="6" cm="1">
        <f t="array" ref="J47">_xlfn.LET(
  _xlpm.rng, C47:I47,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7" t="str">
        <f t="shared" si="0"/>
        <v/>
      </c>
    </row>
    <row r="48" spans="1:12" x14ac:dyDescent="0.4">
      <c r="A48">
        <v>5</v>
      </c>
      <c r="B48">
        <v>7</v>
      </c>
      <c r="C48" s="3">
        <v>8</v>
      </c>
      <c r="D48" s="3"/>
      <c r="E48" s="3"/>
      <c r="F48" s="3"/>
      <c r="G48" s="3"/>
      <c r="H48" s="3"/>
      <c r="I48" s="3"/>
      <c r="J48" s="6" cm="1">
        <f t="array" ref="J48">_xlfn.LET(
  _xlpm.rng, C48:I48,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8</v>
      </c>
      <c r="L48" t="str">
        <f t="shared" si="0"/>
        <v>5-7 肝</v>
      </c>
    </row>
    <row r="49" spans="1:12" x14ac:dyDescent="0.4">
      <c r="A49">
        <v>5</v>
      </c>
      <c r="B49">
        <v>8</v>
      </c>
      <c r="C49" s="3">
        <v>0</v>
      </c>
      <c r="D49" s="3"/>
      <c r="E49" s="3"/>
      <c r="F49" s="3"/>
      <c r="G49" s="3"/>
      <c r="H49" s="3"/>
      <c r="I49" s="3"/>
      <c r="J49" s="6" cm="1">
        <f t="array" ref="J49">_xlfn.LET(
  _xlpm.rng, C49:I49,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9" t="str">
        <f t="shared" si="0"/>
        <v/>
      </c>
    </row>
    <row r="50" spans="1:12" x14ac:dyDescent="0.4">
      <c r="A50">
        <v>5</v>
      </c>
      <c r="B50">
        <v>9</v>
      </c>
      <c r="C50" s="3">
        <v>0</v>
      </c>
      <c r="D50" s="3"/>
      <c r="E50" s="3"/>
      <c r="F50" s="3"/>
      <c r="G50" s="3"/>
      <c r="H50" s="3"/>
      <c r="I50" s="3"/>
      <c r="J50" s="6" cm="1">
        <f t="array" ref="J50">_xlfn.LET(
  _xlpm.rng, C50:I50,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50" t="str">
        <f t="shared" si="0"/>
        <v/>
      </c>
    </row>
    <row r="51" spans="1:12" x14ac:dyDescent="0.4">
      <c r="A51">
        <v>5</v>
      </c>
      <c r="B51">
        <v>10</v>
      </c>
      <c r="C51" s="3">
        <v>0</v>
      </c>
      <c r="D51" s="3"/>
      <c r="E51" s="3"/>
      <c r="F51" s="3"/>
      <c r="G51" s="3"/>
      <c r="H51" s="3"/>
      <c r="I51" s="3"/>
      <c r="J51" s="6" cm="1">
        <f t="array" ref="J51">_xlfn.LET(
  _xlpm.rng, C51:I51,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51" t="str">
        <f t="shared" si="0"/>
        <v/>
      </c>
    </row>
    <row r="52" spans="1:12" x14ac:dyDescent="0.4">
      <c r="A52">
        <v>6</v>
      </c>
      <c r="B52">
        <v>1</v>
      </c>
      <c r="C52" s="3">
        <v>209</v>
      </c>
      <c r="D52" s="3"/>
      <c r="E52" s="3">
        <v>2</v>
      </c>
      <c r="F52" s="3"/>
      <c r="G52" s="3"/>
      <c r="H52" s="3"/>
      <c r="I52" s="3"/>
      <c r="J52" s="6" cm="1">
        <f t="array" ref="J52">_xlfn.LET(
  _xlpm.rng, C52:I52,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209</v>
      </c>
      <c r="L52" t="str">
        <f t="shared" si="0"/>
        <v>6-1 肝</v>
      </c>
    </row>
    <row r="53" spans="1:12" x14ac:dyDescent="0.4">
      <c r="A53">
        <v>6</v>
      </c>
      <c r="B53">
        <v>2</v>
      </c>
      <c r="C53" s="3">
        <v>0</v>
      </c>
      <c r="D53" s="3"/>
      <c r="E53" s="3"/>
      <c r="F53" s="3"/>
      <c r="G53" s="3"/>
      <c r="H53" s="3"/>
      <c r="I53" s="3"/>
      <c r="J53" s="6" cm="1">
        <f t="array" ref="J53">_xlfn.LET(
  _xlpm.rng, C53:I53,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53" t="str">
        <f t="shared" si="0"/>
        <v/>
      </c>
    </row>
    <row r="54" spans="1:12" x14ac:dyDescent="0.4">
      <c r="A54">
        <v>6</v>
      </c>
      <c r="B54">
        <v>3</v>
      </c>
      <c r="C54" s="3">
        <v>41</v>
      </c>
      <c r="D54" s="3"/>
      <c r="E54" s="3"/>
      <c r="F54" s="3"/>
      <c r="G54" s="3"/>
      <c r="H54" s="3"/>
      <c r="I54" s="3"/>
      <c r="J54" s="6" cm="1">
        <f t="array" ref="J54">_xlfn.LET(
  _xlpm.rng, C54:I54,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41</v>
      </c>
      <c r="L54" t="str">
        <f t="shared" si="0"/>
        <v>6-3 肝</v>
      </c>
    </row>
    <row r="55" spans="1:12" x14ac:dyDescent="0.4">
      <c r="A55">
        <v>6</v>
      </c>
      <c r="B55">
        <v>4</v>
      </c>
      <c r="C55" s="3">
        <v>0</v>
      </c>
      <c r="D55" s="3"/>
      <c r="E55" s="3"/>
      <c r="F55" s="3"/>
      <c r="G55" s="3"/>
      <c r="H55" s="3"/>
      <c r="I55" s="3"/>
      <c r="J55" s="6" cm="1">
        <f t="array" ref="J55">_xlfn.LET(
  _xlpm.rng, C55:I55,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55" t="str">
        <f t="shared" si="0"/>
        <v/>
      </c>
    </row>
    <row r="56" spans="1:12" x14ac:dyDescent="0.4">
      <c r="A56">
        <v>6</v>
      </c>
      <c r="B56">
        <v>5</v>
      </c>
      <c r="C56" s="3">
        <v>36</v>
      </c>
      <c r="D56" s="3"/>
      <c r="E56" s="3"/>
      <c r="F56" s="3"/>
      <c r="G56" s="3"/>
      <c r="H56" s="3"/>
      <c r="I56" s="3"/>
      <c r="J56" s="6" cm="1">
        <f t="array" ref="J56">_xlfn.LET(
  _xlpm.rng, C56:I56,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36</v>
      </c>
      <c r="L56" t="str">
        <f t="shared" si="0"/>
        <v>6-5 肝</v>
      </c>
    </row>
    <row r="57" spans="1:12" x14ac:dyDescent="0.4">
      <c r="A57">
        <v>6</v>
      </c>
      <c r="B57">
        <v>6</v>
      </c>
      <c r="C57" s="3">
        <v>0</v>
      </c>
      <c r="D57" s="3"/>
      <c r="E57" s="3"/>
      <c r="F57" s="3"/>
      <c r="G57" s="3"/>
      <c r="H57" s="3"/>
      <c r="I57" s="3"/>
      <c r="J57" s="6" cm="1">
        <f t="array" ref="J57">_xlfn.LET(
  _xlpm.rng, C57:I57,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57" t="str">
        <f t="shared" si="0"/>
        <v/>
      </c>
    </row>
    <row r="58" spans="1:12" x14ac:dyDescent="0.4">
      <c r="A58">
        <v>6</v>
      </c>
      <c r="B58">
        <v>7</v>
      </c>
      <c r="C58" s="3"/>
      <c r="D58" s="3"/>
      <c r="E58" s="3"/>
      <c r="F58" s="3"/>
      <c r="G58" s="3"/>
      <c r="H58" s="3">
        <v>37</v>
      </c>
      <c r="I58" s="3"/>
      <c r="J58" s="6" cm="1">
        <f t="array" ref="J58">_xlfn.LET(
  _xlpm.rng, C58:I58,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3700000</v>
      </c>
      <c r="L58" t="str">
        <f t="shared" si="0"/>
        <v>6-7 肝</v>
      </c>
    </row>
    <row r="59" spans="1:12" x14ac:dyDescent="0.4">
      <c r="A59">
        <v>6</v>
      </c>
      <c r="B59">
        <v>8</v>
      </c>
      <c r="C59" s="3">
        <v>15</v>
      </c>
      <c r="D59" s="3"/>
      <c r="E59" s="3"/>
      <c r="F59" s="3"/>
      <c r="G59" s="3"/>
      <c r="H59" s="3"/>
      <c r="I59" s="3"/>
      <c r="J59" s="6" cm="1">
        <f t="array" ref="J59">_xlfn.LET(
  _xlpm.rng, C59:I59,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15</v>
      </c>
      <c r="L59" t="str">
        <f t="shared" si="0"/>
        <v>6-8 肝</v>
      </c>
    </row>
    <row r="60" spans="1:12" x14ac:dyDescent="0.4">
      <c r="A60">
        <v>6</v>
      </c>
      <c r="B60">
        <v>9</v>
      </c>
      <c r="C60" s="3">
        <v>7</v>
      </c>
      <c r="D60" s="3"/>
      <c r="E60" s="3"/>
      <c r="F60" s="3"/>
      <c r="G60" s="3"/>
      <c r="H60" s="3"/>
      <c r="I60" s="3"/>
      <c r="J60" s="6" cm="1">
        <f t="array" ref="J60">_xlfn.LET(
  _xlpm.rng, C60:I60,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7</v>
      </c>
      <c r="L60" t="str">
        <f t="shared" si="0"/>
        <v>6-9 肝</v>
      </c>
    </row>
    <row r="61" spans="1:12" x14ac:dyDescent="0.4">
      <c r="A61">
        <v>6</v>
      </c>
      <c r="B61">
        <v>10</v>
      </c>
      <c r="C61" s="3">
        <v>1</v>
      </c>
      <c r="D61" s="3"/>
      <c r="E61" s="3"/>
      <c r="F61" s="3"/>
      <c r="G61" s="3"/>
      <c r="H61" s="3"/>
      <c r="I61" s="3"/>
      <c r="J61" s="6" cm="1">
        <f t="array" ref="J61">_xlfn.LET(
  _xlpm.rng, C61:I61,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</v>
      </c>
      <c r="L61" t="str">
        <f t="shared" si="0"/>
        <v>6-10 肝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A3D3-EF82-4772-B97C-24D2DB85D325}">
  <dimension ref="A1:L61"/>
  <sheetViews>
    <sheetView workbookViewId="0">
      <pane ySplit="1" topLeftCell="A2" activePane="bottomLeft" state="frozen"/>
      <selection pane="bottomLeft" activeCell="J2" sqref="J2:J61"/>
    </sheetView>
  </sheetViews>
  <sheetFormatPr defaultRowHeight="18.75" x14ac:dyDescent="0.4"/>
  <cols>
    <col min="11" max="11" width="10.375" bestFit="1" customWidth="1"/>
  </cols>
  <sheetData>
    <row r="1" spans="1:12" x14ac:dyDescent="0.4">
      <c r="A1" t="s">
        <v>0</v>
      </c>
      <c r="B1" t="s">
        <v>1</v>
      </c>
      <c r="C1" s="1">
        <v>1</v>
      </c>
      <c r="D1" s="1">
        <v>10</v>
      </c>
      <c r="E1" s="1">
        <v>100</v>
      </c>
      <c r="F1" s="2">
        <v>1000</v>
      </c>
      <c r="G1" s="1">
        <v>10000</v>
      </c>
      <c r="H1" s="1">
        <f>G1*10</f>
        <v>100000</v>
      </c>
      <c r="I1" s="1">
        <f>H1*10</f>
        <v>1000000</v>
      </c>
      <c r="J1" s="4" t="s">
        <v>5</v>
      </c>
      <c r="K1" t="s">
        <v>7</v>
      </c>
    </row>
    <row r="2" spans="1:12" x14ac:dyDescent="0.4">
      <c r="A2">
        <v>1</v>
      </c>
      <c r="B2">
        <v>1</v>
      </c>
      <c r="C2" s="3">
        <v>101</v>
      </c>
      <c r="D2" s="3"/>
      <c r="E2" s="3">
        <v>4</v>
      </c>
      <c r="F2" s="3"/>
      <c r="G2" s="3"/>
      <c r="H2" s="3"/>
      <c r="I2" s="3"/>
      <c r="J2" s="6" cm="1">
        <f t="array" ref="J2">_xlfn.LET(
  _xlpm.rng, C2:I2,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101</v>
      </c>
      <c r="L2" t="str">
        <f>IF(J2&gt;0,_xlfn.CONCAT(A2,"-",B2," ","心"),"")</f>
        <v>1-1 心</v>
      </c>
    </row>
    <row r="3" spans="1:12" x14ac:dyDescent="0.4">
      <c r="A3">
        <v>1</v>
      </c>
      <c r="B3">
        <v>2</v>
      </c>
      <c r="C3" s="3"/>
      <c r="D3" s="3"/>
      <c r="E3" s="3">
        <v>18</v>
      </c>
      <c r="F3" s="3"/>
      <c r="G3" s="3"/>
      <c r="H3" s="3"/>
      <c r="I3" s="3"/>
      <c r="J3" s="6" cm="1">
        <f t="array" ref="J3">_xlfn.LET(
  _xlpm.rng, C3:I3,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1800</v>
      </c>
      <c r="L3" t="str">
        <f t="shared" ref="L3:L61" si="0">IF(J3&gt;0,_xlfn.CONCAT(A3,"-",B3," ","心"),"")</f>
        <v>1-2 心</v>
      </c>
    </row>
    <row r="4" spans="1:12" x14ac:dyDescent="0.4">
      <c r="A4">
        <v>1</v>
      </c>
      <c r="B4">
        <v>3</v>
      </c>
      <c r="C4" s="3">
        <v>0</v>
      </c>
      <c r="D4" s="3"/>
      <c r="E4" s="3"/>
      <c r="F4" s="3"/>
      <c r="G4" s="3"/>
      <c r="H4" s="3"/>
      <c r="I4" s="3"/>
      <c r="J4" s="6" cm="1">
        <f t="array" ref="J4">_xlfn.LET(
  _xlpm.rng, C4:I4,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" t="str">
        <f t="shared" si="0"/>
        <v/>
      </c>
    </row>
    <row r="5" spans="1:12" x14ac:dyDescent="0.4">
      <c r="A5">
        <v>1</v>
      </c>
      <c r="B5">
        <v>4</v>
      </c>
      <c r="C5" s="3">
        <v>0</v>
      </c>
      <c r="D5" s="3"/>
      <c r="E5" s="3"/>
      <c r="F5" s="3"/>
      <c r="G5" s="3"/>
      <c r="H5" s="3"/>
      <c r="I5" s="3"/>
      <c r="J5" s="6" cm="1">
        <f t="array" ref="J5">_xlfn.LET(
  _xlpm.rng, C5:I5,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5" t="str">
        <f t="shared" si="0"/>
        <v/>
      </c>
    </row>
    <row r="6" spans="1:12" x14ac:dyDescent="0.4">
      <c r="A6">
        <v>1</v>
      </c>
      <c r="B6">
        <v>5</v>
      </c>
      <c r="C6" s="3">
        <v>0</v>
      </c>
      <c r="D6" s="3"/>
      <c r="E6" s="3"/>
      <c r="F6" s="3"/>
      <c r="G6" s="3"/>
      <c r="H6" s="3"/>
      <c r="I6" s="3"/>
      <c r="J6" s="6" cm="1">
        <f t="array" ref="J6">_xlfn.LET(
  _xlpm.rng, C6:I6,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6" t="str">
        <f t="shared" si="0"/>
        <v/>
      </c>
    </row>
    <row r="7" spans="1:12" x14ac:dyDescent="0.4">
      <c r="A7">
        <v>1</v>
      </c>
      <c r="B7">
        <v>6</v>
      </c>
      <c r="C7" s="3">
        <v>2</v>
      </c>
      <c r="D7" s="3"/>
      <c r="E7" s="3"/>
      <c r="F7" s="3"/>
      <c r="G7" s="3"/>
      <c r="H7" s="3"/>
      <c r="I7" s="3"/>
      <c r="J7" s="6" cm="1">
        <f t="array" ref="J7">_xlfn.LET(
  _xlpm.rng, C7:I7,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</v>
      </c>
      <c r="L7" t="str">
        <f t="shared" si="0"/>
        <v>1-6 心</v>
      </c>
    </row>
    <row r="8" spans="1:12" x14ac:dyDescent="0.4">
      <c r="A8">
        <v>1</v>
      </c>
      <c r="B8">
        <v>7</v>
      </c>
      <c r="C8" s="3"/>
      <c r="D8" s="3"/>
      <c r="E8" s="3"/>
      <c r="F8" s="3"/>
      <c r="G8" s="3">
        <v>82</v>
      </c>
      <c r="H8" s="3"/>
      <c r="I8" s="3"/>
      <c r="J8" s="6" cm="1">
        <f t="array" ref="J8">_xlfn.LET(
  _xlpm.rng, C8:I8,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820000</v>
      </c>
      <c r="L8" t="str">
        <f t="shared" si="0"/>
        <v>1-7 心</v>
      </c>
    </row>
    <row r="9" spans="1:12" x14ac:dyDescent="0.4">
      <c r="A9">
        <v>1</v>
      </c>
      <c r="B9">
        <v>8</v>
      </c>
      <c r="C9" s="3">
        <v>0</v>
      </c>
      <c r="D9" s="3"/>
      <c r="E9" s="3"/>
      <c r="F9" s="3"/>
      <c r="G9" s="3"/>
      <c r="H9" s="3"/>
      <c r="I9" s="3"/>
      <c r="J9" s="6" cm="1">
        <f t="array" ref="J9">_xlfn.LET(
  _xlpm.rng, C9:I9,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9" t="str">
        <f t="shared" si="0"/>
        <v/>
      </c>
    </row>
    <row r="10" spans="1:12" x14ac:dyDescent="0.4">
      <c r="A10">
        <v>1</v>
      </c>
      <c r="B10">
        <v>9</v>
      </c>
      <c r="C10" s="3">
        <v>0</v>
      </c>
      <c r="D10" s="3"/>
      <c r="E10" s="3"/>
      <c r="F10" s="3"/>
      <c r="G10" s="3"/>
      <c r="H10" s="3"/>
      <c r="I10" s="3"/>
      <c r="J10" s="6" cm="1">
        <f t="array" ref="J10">_xlfn.LET(
  _xlpm.rng, C10:I10,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0" t="str">
        <f t="shared" si="0"/>
        <v/>
      </c>
    </row>
    <row r="11" spans="1:12" x14ac:dyDescent="0.4">
      <c r="A11">
        <v>1</v>
      </c>
      <c r="B11">
        <v>10</v>
      </c>
      <c r="C11" s="3">
        <v>0</v>
      </c>
      <c r="D11" s="3"/>
      <c r="E11" s="3"/>
      <c r="F11" s="3"/>
      <c r="G11" s="3"/>
      <c r="H11" s="3"/>
      <c r="I11" s="3"/>
      <c r="J11" s="6" cm="1">
        <f t="array" ref="J11">_xlfn.LET(
  _xlpm.rng, C11:I11,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1" t="str">
        <f t="shared" si="0"/>
        <v/>
      </c>
    </row>
    <row r="12" spans="1:12" x14ac:dyDescent="0.4">
      <c r="A12">
        <v>2</v>
      </c>
      <c r="B12">
        <v>1</v>
      </c>
      <c r="C12" s="3">
        <v>0</v>
      </c>
      <c r="D12" s="3"/>
      <c r="E12" s="3"/>
      <c r="F12" s="3"/>
      <c r="G12" s="3"/>
      <c r="H12" s="3"/>
      <c r="I12" s="3"/>
      <c r="J12" s="6" cm="1">
        <f t="array" ref="J12">_xlfn.LET(
  _xlpm.rng, C12:I12,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2" t="str">
        <f t="shared" si="0"/>
        <v/>
      </c>
    </row>
    <row r="13" spans="1:12" x14ac:dyDescent="0.4">
      <c r="A13">
        <v>2</v>
      </c>
      <c r="B13">
        <v>2</v>
      </c>
      <c r="C13" s="3">
        <v>0</v>
      </c>
      <c r="D13" s="3"/>
      <c r="E13" s="3"/>
      <c r="F13" s="3"/>
      <c r="G13" s="3"/>
      <c r="H13" s="3"/>
      <c r="I13" s="3"/>
      <c r="J13" s="6" cm="1">
        <f t="array" ref="J13">_xlfn.LET(
  _xlpm.rng, C13:I13,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3" t="str">
        <f t="shared" si="0"/>
        <v/>
      </c>
    </row>
    <row r="14" spans="1:12" x14ac:dyDescent="0.4">
      <c r="A14">
        <v>2</v>
      </c>
      <c r="B14">
        <v>3</v>
      </c>
      <c r="C14" s="3">
        <v>1</v>
      </c>
      <c r="D14" s="3"/>
      <c r="E14" s="3"/>
      <c r="F14" s="3"/>
      <c r="G14" s="3"/>
      <c r="H14" s="3"/>
      <c r="I14" s="3"/>
      <c r="J14" s="6" cm="1">
        <f t="array" ref="J14">_xlfn.LET(
  _xlpm.rng, C14:I14,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</v>
      </c>
      <c r="L14" t="str">
        <f t="shared" si="0"/>
        <v>2-3 心</v>
      </c>
    </row>
    <row r="15" spans="1:12" x14ac:dyDescent="0.4">
      <c r="A15">
        <v>2</v>
      </c>
      <c r="B15">
        <v>4</v>
      </c>
      <c r="C15" s="3">
        <v>7</v>
      </c>
      <c r="D15" s="3"/>
      <c r="E15" s="3"/>
      <c r="F15" s="3"/>
      <c r="G15" s="3"/>
      <c r="H15" s="3"/>
      <c r="I15" s="3"/>
      <c r="J15" s="6" cm="1">
        <f t="array" ref="J15">_xlfn.LET(
  _xlpm.rng, C15:I15,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7</v>
      </c>
      <c r="L15" t="str">
        <f t="shared" si="0"/>
        <v>2-4 心</v>
      </c>
    </row>
    <row r="16" spans="1:12" x14ac:dyDescent="0.4">
      <c r="A16">
        <v>2</v>
      </c>
      <c r="B16">
        <v>5</v>
      </c>
      <c r="C16" s="3">
        <v>4</v>
      </c>
      <c r="D16" s="3"/>
      <c r="E16" s="3"/>
      <c r="F16" s="3"/>
      <c r="G16" s="3"/>
      <c r="H16" s="3"/>
      <c r="I16" s="3"/>
      <c r="J16" s="6" cm="1">
        <f t="array" ref="J16">_xlfn.LET(
  _xlpm.rng, C16:I16,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4</v>
      </c>
      <c r="L16" t="str">
        <f t="shared" si="0"/>
        <v>2-5 心</v>
      </c>
    </row>
    <row r="17" spans="1:12" x14ac:dyDescent="0.4">
      <c r="A17">
        <v>2</v>
      </c>
      <c r="B17">
        <v>6</v>
      </c>
      <c r="C17" s="3"/>
      <c r="D17" s="3"/>
      <c r="E17" s="3">
        <v>25</v>
      </c>
      <c r="F17" s="3"/>
      <c r="G17" s="3"/>
      <c r="H17" s="3"/>
      <c r="I17" s="3"/>
      <c r="J17" s="6" cm="1">
        <f t="array" ref="J17">_xlfn.LET(
  _xlpm.rng, C17:I17,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2500</v>
      </c>
      <c r="L17" t="str">
        <f t="shared" si="0"/>
        <v>2-6 心</v>
      </c>
    </row>
    <row r="18" spans="1:12" x14ac:dyDescent="0.4">
      <c r="A18">
        <v>2</v>
      </c>
      <c r="B18">
        <v>7</v>
      </c>
      <c r="C18" s="3" t="s">
        <v>6</v>
      </c>
      <c r="D18" s="3"/>
      <c r="E18" s="3">
        <v>1</v>
      </c>
      <c r="F18" s="3"/>
      <c r="G18" s="3"/>
      <c r="H18" s="3"/>
      <c r="I18" s="3"/>
      <c r="J18" s="6" cm="1">
        <f t="array" ref="J18">_xlfn.LET(
  _xlpm.rng, C18:I18,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100</v>
      </c>
      <c r="L18" t="str">
        <f t="shared" si="0"/>
        <v>2-7 心</v>
      </c>
    </row>
    <row r="19" spans="1:12" x14ac:dyDescent="0.4">
      <c r="A19">
        <v>2</v>
      </c>
      <c r="B19">
        <v>8</v>
      </c>
      <c r="C19" s="3">
        <v>0</v>
      </c>
      <c r="D19" s="3"/>
      <c r="E19" s="3"/>
      <c r="F19" s="3"/>
      <c r="G19" s="3"/>
      <c r="H19" s="3"/>
      <c r="I19" s="3"/>
      <c r="J19" s="6" cm="1">
        <f t="array" ref="J19">_xlfn.LET(
  _xlpm.rng, C19:I19,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9" t="str">
        <f t="shared" si="0"/>
        <v/>
      </c>
    </row>
    <row r="20" spans="1:12" x14ac:dyDescent="0.4">
      <c r="A20">
        <v>2</v>
      </c>
      <c r="B20">
        <v>9</v>
      </c>
      <c r="C20" s="3">
        <v>0</v>
      </c>
      <c r="D20" s="3"/>
      <c r="E20" s="3"/>
      <c r="F20" s="3"/>
      <c r="G20" s="3"/>
      <c r="H20" s="3"/>
      <c r="I20" s="3"/>
      <c r="J20" s="6" cm="1">
        <f t="array" ref="J20">_xlfn.LET(
  _xlpm.rng, C20:I20,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20" t="str">
        <f t="shared" si="0"/>
        <v/>
      </c>
    </row>
    <row r="21" spans="1:12" x14ac:dyDescent="0.4">
      <c r="A21">
        <v>2</v>
      </c>
      <c r="B21">
        <v>10</v>
      </c>
      <c r="C21" s="3">
        <v>0</v>
      </c>
      <c r="D21" s="3"/>
      <c r="E21" s="3"/>
      <c r="F21" s="3"/>
      <c r="G21" s="3"/>
      <c r="H21" s="3"/>
      <c r="I21" s="3"/>
      <c r="J21" s="6" cm="1">
        <f t="array" ref="J21">_xlfn.LET(
  _xlpm.rng, C21:I21,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21" t="str">
        <f t="shared" si="0"/>
        <v/>
      </c>
    </row>
    <row r="22" spans="1:12" x14ac:dyDescent="0.4">
      <c r="A22">
        <v>3</v>
      </c>
      <c r="B22">
        <v>1</v>
      </c>
      <c r="C22" s="3">
        <v>18</v>
      </c>
      <c r="D22" s="3"/>
      <c r="E22" s="3"/>
      <c r="F22" s="3"/>
      <c r="G22" s="3"/>
      <c r="H22" s="3"/>
      <c r="I22" s="3"/>
      <c r="J22" s="6" cm="1">
        <f t="array" ref="J22">_xlfn.LET(
  _xlpm.rng, C22:I22,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18</v>
      </c>
      <c r="L22" t="str">
        <f t="shared" si="0"/>
        <v>3-1 心</v>
      </c>
    </row>
    <row r="23" spans="1:12" x14ac:dyDescent="0.4">
      <c r="A23">
        <v>3</v>
      </c>
      <c r="B23">
        <v>2</v>
      </c>
      <c r="C23" s="3">
        <v>0</v>
      </c>
      <c r="D23" s="3"/>
      <c r="E23" s="3"/>
      <c r="F23" s="3"/>
      <c r="G23" s="3"/>
      <c r="H23" s="3"/>
      <c r="I23" s="3"/>
      <c r="J23" s="6" cm="1">
        <f t="array" ref="J23">_xlfn.LET(
  _xlpm.rng, C23:I23,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23" t="str">
        <f t="shared" si="0"/>
        <v/>
      </c>
    </row>
    <row r="24" spans="1:12" x14ac:dyDescent="0.4">
      <c r="A24">
        <v>3</v>
      </c>
      <c r="B24">
        <v>3</v>
      </c>
      <c r="C24" s="3">
        <v>31</v>
      </c>
      <c r="D24" s="3"/>
      <c r="E24" s="3"/>
      <c r="F24" s="3"/>
      <c r="G24" s="3"/>
      <c r="H24" s="3"/>
      <c r="I24" s="3"/>
      <c r="J24" s="6" cm="1">
        <f t="array" ref="J24">_xlfn.LET(
  _xlpm.rng, C24:I24,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31</v>
      </c>
      <c r="L24" t="str">
        <f t="shared" si="0"/>
        <v>3-3 心</v>
      </c>
    </row>
    <row r="25" spans="1:12" x14ac:dyDescent="0.4">
      <c r="A25">
        <v>3</v>
      </c>
      <c r="B25">
        <v>4</v>
      </c>
      <c r="C25" s="3"/>
      <c r="D25" s="3"/>
      <c r="E25" s="3"/>
      <c r="F25" s="3"/>
      <c r="G25" s="3"/>
      <c r="H25" s="3">
        <v>51</v>
      </c>
      <c r="I25" s="3"/>
      <c r="J25" s="6" cm="1">
        <f t="array" ref="J25">_xlfn.LET(
  _xlpm.rng, C25:I25,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5100000</v>
      </c>
      <c r="L25" t="str">
        <f t="shared" si="0"/>
        <v>3-4 心</v>
      </c>
    </row>
    <row r="26" spans="1:12" x14ac:dyDescent="0.4">
      <c r="A26">
        <v>3</v>
      </c>
      <c r="B26">
        <v>5</v>
      </c>
      <c r="C26" s="3">
        <v>0</v>
      </c>
      <c r="D26" s="3"/>
      <c r="E26" s="3"/>
      <c r="F26" s="3"/>
      <c r="G26" s="3"/>
      <c r="H26" s="3"/>
      <c r="I26" s="3"/>
      <c r="J26" s="6" cm="1">
        <f t="array" ref="J26">_xlfn.LET(
  _xlpm.rng, C26:I26,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26" t="str">
        <f t="shared" si="0"/>
        <v/>
      </c>
    </row>
    <row r="27" spans="1:12" x14ac:dyDescent="0.4">
      <c r="A27">
        <v>3</v>
      </c>
      <c r="B27">
        <v>6</v>
      </c>
      <c r="C27" s="3">
        <v>0</v>
      </c>
      <c r="D27" s="3"/>
      <c r="E27" s="3"/>
      <c r="F27" s="3"/>
      <c r="G27" s="3"/>
      <c r="H27" s="3"/>
      <c r="I27" s="3"/>
      <c r="J27" s="6" cm="1">
        <f t="array" ref="J27">_xlfn.LET(
  _xlpm.rng, C27:I27,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27" t="str">
        <f t="shared" si="0"/>
        <v/>
      </c>
    </row>
    <row r="28" spans="1:12" x14ac:dyDescent="0.4">
      <c r="A28">
        <v>3</v>
      </c>
      <c r="B28">
        <v>7</v>
      </c>
      <c r="C28" s="3">
        <v>0</v>
      </c>
      <c r="D28" s="3"/>
      <c r="E28" s="3"/>
      <c r="F28" s="3"/>
      <c r="G28" s="3"/>
      <c r="H28" s="3"/>
      <c r="I28" s="3"/>
      <c r="J28" s="6" cm="1">
        <f t="array" ref="J28">_xlfn.LET(
  _xlpm.rng, C28:I28,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28" t="str">
        <f t="shared" si="0"/>
        <v/>
      </c>
    </row>
    <row r="29" spans="1:12" x14ac:dyDescent="0.4">
      <c r="A29">
        <v>3</v>
      </c>
      <c r="B29">
        <v>8</v>
      </c>
      <c r="C29" s="3">
        <v>38</v>
      </c>
      <c r="D29" s="3"/>
      <c r="E29" s="3"/>
      <c r="F29" s="3"/>
      <c r="G29" s="3"/>
      <c r="H29" s="3"/>
      <c r="I29" s="3"/>
      <c r="J29" s="6" cm="1">
        <f t="array" ref="J29">_xlfn.LET(
  _xlpm.rng, C29:I29,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38</v>
      </c>
      <c r="L29" t="str">
        <f t="shared" si="0"/>
        <v>3-8 心</v>
      </c>
    </row>
    <row r="30" spans="1:12" x14ac:dyDescent="0.4">
      <c r="A30">
        <v>3</v>
      </c>
      <c r="B30">
        <v>9</v>
      </c>
      <c r="C30" s="3">
        <v>0</v>
      </c>
      <c r="D30" s="3"/>
      <c r="E30" s="3"/>
      <c r="F30" s="3"/>
      <c r="G30" s="3"/>
      <c r="H30" s="3"/>
      <c r="I30" s="3"/>
      <c r="J30" s="6" cm="1">
        <f t="array" ref="J30">_xlfn.LET(
  _xlpm.rng, C30:I30,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30" t="str">
        <f t="shared" si="0"/>
        <v/>
      </c>
    </row>
    <row r="31" spans="1:12" x14ac:dyDescent="0.4">
      <c r="A31">
        <v>3</v>
      </c>
      <c r="B31">
        <v>10</v>
      </c>
      <c r="C31" s="3">
        <v>29</v>
      </c>
      <c r="D31" s="3"/>
      <c r="E31" s="3">
        <v>5</v>
      </c>
      <c r="F31" s="3"/>
      <c r="G31" s="3"/>
      <c r="H31" s="3"/>
      <c r="I31" s="3"/>
      <c r="J31" s="6" cm="1">
        <f t="array" ref="J31">_xlfn.LET(
  _xlpm.rng, C31:I31,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29</v>
      </c>
      <c r="L31" t="str">
        <f t="shared" si="0"/>
        <v>3-10 心</v>
      </c>
    </row>
    <row r="32" spans="1:12" x14ac:dyDescent="0.4">
      <c r="A32">
        <v>4</v>
      </c>
      <c r="B32">
        <v>1</v>
      </c>
      <c r="C32" s="3">
        <v>14</v>
      </c>
      <c r="D32" s="3"/>
      <c r="E32" s="3"/>
      <c r="F32" s="3"/>
      <c r="G32" s="3"/>
      <c r="H32" s="3"/>
      <c r="I32" s="3"/>
      <c r="J32" s="6" cm="1">
        <f t="array" ref="J32">_xlfn.LET(
  _xlpm.rng, C32:I32,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14</v>
      </c>
      <c r="L32" t="str">
        <f t="shared" si="0"/>
        <v>4-1 心</v>
      </c>
    </row>
    <row r="33" spans="1:12" x14ac:dyDescent="0.4">
      <c r="A33">
        <v>4</v>
      </c>
      <c r="B33">
        <v>2</v>
      </c>
      <c r="C33" s="3">
        <v>21</v>
      </c>
      <c r="D33" s="3"/>
      <c r="E33" s="3"/>
      <c r="F33" s="3"/>
      <c r="G33" s="3"/>
      <c r="H33" s="3"/>
      <c r="I33" s="3"/>
      <c r="J33" s="6" cm="1">
        <f t="array" ref="J33">_xlfn.LET(
  _xlpm.rng, C33:I33,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21</v>
      </c>
      <c r="K33">
        <v>11</v>
      </c>
      <c r="L33" t="str">
        <f t="shared" si="0"/>
        <v>4-2 心</v>
      </c>
    </row>
    <row r="34" spans="1:12" x14ac:dyDescent="0.4">
      <c r="A34">
        <v>4</v>
      </c>
      <c r="B34">
        <v>3</v>
      </c>
      <c r="C34" s="3">
        <v>0</v>
      </c>
      <c r="D34" s="3"/>
      <c r="E34" s="3"/>
      <c r="F34" s="3"/>
      <c r="G34" s="3"/>
      <c r="H34" s="3"/>
      <c r="I34" s="3"/>
      <c r="J34" s="6" cm="1">
        <f t="array" ref="J34">_xlfn.LET(
  _xlpm.rng, C34:I34,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34" t="str">
        <f t="shared" si="0"/>
        <v/>
      </c>
    </row>
    <row r="35" spans="1:12" x14ac:dyDescent="0.4">
      <c r="A35">
        <v>4</v>
      </c>
      <c r="B35">
        <v>4</v>
      </c>
      <c r="C35" s="3">
        <v>14</v>
      </c>
      <c r="D35" s="3"/>
      <c r="E35" s="3"/>
      <c r="F35" s="3"/>
      <c r="G35" s="3"/>
      <c r="H35" s="3"/>
      <c r="I35" s="3"/>
      <c r="J35" s="6" cm="1">
        <f t="array" ref="J35">_xlfn.LET(
  _xlpm.rng, C35:I35,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14</v>
      </c>
      <c r="L35" t="str">
        <f t="shared" si="0"/>
        <v>4-4 心</v>
      </c>
    </row>
    <row r="36" spans="1:12" x14ac:dyDescent="0.4">
      <c r="A36">
        <v>4</v>
      </c>
      <c r="B36">
        <v>5</v>
      </c>
      <c r="C36" s="3">
        <v>4</v>
      </c>
      <c r="D36" s="3"/>
      <c r="E36" s="3"/>
      <c r="F36" s="3"/>
      <c r="G36" s="3"/>
      <c r="H36" s="3"/>
      <c r="I36" s="3"/>
      <c r="J36" s="6" cm="1">
        <f t="array" ref="J36">_xlfn.LET(
  _xlpm.rng, C36:I36,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4</v>
      </c>
      <c r="L36" t="str">
        <f t="shared" si="0"/>
        <v>4-5 心</v>
      </c>
    </row>
    <row r="37" spans="1:12" x14ac:dyDescent="0.4">
      <c r="A37">
        <v>4</v>
      </c>
      <c r="B37">
        <v>6</v>
      </c>
      <c r="C37" s="3">
        <v>19</v>
      </c>
      <c r="D37" s="3"/>
      <c r="E37" s="3">
        <v>6</v>
      </c>
      <c r="F37" s="3"/>
      <c r="G37" s="3"/>
      <c r="H37" s="3"/>
      <c r="I37" s="3"/>
      <c r="J37" s="6" cm="1">
        <f t="array" ref="J37">_xlfn.LET(
  _xlpm.rng, C37:I37,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19</v>
      </c>
      <c r="L37" t="str">
        <f t="shared" si="0"/>
        <v>4-6 心</v>
      </c>
    </row>
    <row r="38" spans="1:12" x14ac:dyDescent="0.4">
      <c r="A38">
        <v>4</v>
      </c>
      <c r="B38">
        <v>7</v>
      </c>
      <c r="C38" s="3">
        <v>0</v>
      </c>
      <c r="D38" s="3"/>
      <c r="E38" s="3"/>
      <c r="F38" s="3"/>
      <c r="G38" s="3"/>
      <c r="H38" s="3"/>
      <c r="I38" s="3"/>
      <c r="J38" s="6" cm="1">
        <f t="array" ref="J38">_xlfn.LET(
  _xlpm.rng, C38:I38,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38" t="str">
        <f t="shared" si="0"/>
        <v/>
      </c>
    </row>
    <row r="39" spans="1:12" x14ac:dyDescent="0.4">
      <c r="A39">
        <v>4</v>
      </c>
      <c r="B39">
        <v>8</v>
      </c>
      <c r="C39" s="3">
        <v>8</v>
      </c>
      <c r="D39" s="3"/>
      <c r="E39" s="3"/>
      <c r="F39" s="3"/>
      <c r="G39" s="3"/>
      <c r="H39" s="3"/>
      <c r="I39" s="3"/>
      <c r="J39" s="6" cm="1">
        <f t="array" ref="J39">_xlfn.LET(
  _xlpm.rng, C39:I39,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8</v>
      </c>
      <c r="K39">
        <v>5</v>
      </c>
      <c r="L39" t="str">
        <f t="shared" si="0"/>
        <v>4-8 心</v>
      </c>
    </row>
    <row r="40" spans="1:12" x14ac:dyDescent="0.4">
      <c r="A40">
        <v>4</v>
      </c>
      <c r="B40">
        <v>9</v>
      </c>
      <c r="C40" s="3">
        <v>14</v>
      </c>
      <c r="D40" s="3"/>
      <c r="E40" s="3"/>
      <c r="F40" s="3"/>
      <c r="G40" s="3"/>
      <c r="H40" s="3"/>
      <c r="I40" s="3"/>
      <c r="J40" s="6" cm="1">
        <f t="array" ref="J40">_xlfn.LET(
  _xlpm.rng, C40:I40,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14</v>
      </c>
      <c r="K40">
        <v>7</v>
      </c>
      <c r="L40" t="str">
        <f t="shared" si="0"/>
        <v>4-9 心</v>
      </c>
    </row>
    <row r="41" spans="1:12" x14ac:dyDescent="0.4">
      <c r="A41">
        <v>4</v>
      </c>
      <c r="B41">
        <v>10</v>
      </c>
      <c r="C41" s="3">
        <v>2</v>
      </c>
      <c r="D41" s="3"/>
      <c r="E41" s="3"/>
      <c r="F41" s="3"/>
      <c r="G41" s="3"/>
      <c r="H41" s="3"/>
      <c r="I41" s="3"/>
      <c r="J41" s="6" cm="1">
        <f t="array" ref="J41">_xlfn.LET(
  _xlpm.rng, C41:I41,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</v>
      </c>
      <c r="L41" t="str">
        <f t="shared" si="0"/>
        <v>4-10 心</v>
      </c>
    </row>
    <row r="42" spans="1:12" x14ac:dyDescent="0.4">
      <c r="A42">
        <v>5</v>
      </c>
      <c r="B42">
        <v>1</v>
      </c>
      <c r="C42" s="3">
        <v>0</v>
      </c>
      <c r="D42" s="3"/>
      <c r="E42" s="3"/>
      <c r="F42" s="3"/>
      <c r="G42" s="3"/>
      <c r="H42" s="3"/>
      <c r="I42" s="3"/>
      <c r="J42" s="6" cm="1">
        <f t="array" ref="J42">_xlfn.LET(
  _xlpm.rng, C42:I42,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2" t="str">
        <f t="shared" si="0"/>
        <v/>
      </c>
    </row>
    <row r="43" spans="1:12" x14ac:dyDescent="0.4">
      <c r="A43">
        <v>5</v>
      </c>
      <c r="B43">
        <v>2</v>
      </c>
      <c r="C43" s="3">
        <v>10</v>
      </c>
      <c r="D43" s="3"/>
      <c r="E43" s="3"/>
      <c r="F43" s="3"/>
      <c r="G43" s="3"/>
      <c r="H43" s="3"/>
      <c r="I43" s="3"/>
      <c r="J43" s="6" cm="1">
        <f t="array" ref="J43">_xlfn.LET(
  _xlpm.rng, C43:I43,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10</v>
      </c>
      <c r="K43">
        <v>6</v>
      </c>
      <c r="L43" t="str">
        <f t="shared" si="0"/>
        <v>5-2 心</v>
      </c>
    </row>
    <row r="44" spans="1:12" x14ac:dyDescent="0.4">
      <c r="A44">
        <v>5</v>
      </c>
      <c r="B44">
        <v>3</v>
      </c>
      <c r="C44" s="3">
        <v>38</v>
      </c>
      <c r="D44" s="3"/>
      <c r="E44" s="3"/>
      <c r="F44" s="3"/>
      <c r="G44" s="3"/>
      <c r="H44" s="3"/>
      <c r="I44" s="3"/>
      <c r="J44" s="6" cm="1">
        <f t="array" ref="J44">_xlfn.LET(
  _xlpm.rng, C44:I44,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38</v>
      </c>
      <c r="L44" t="str">
        <f t="shared" si="0"/>
        <v>5-3 心</v>
      </c>
    </row>
    <row r="45" spans="1:12" x14ac:dyDescent="0.4">
      <c r="A45">
        <v>5</v>
      </c>
      <c r="B45">
        <v>4</v>
      </c>
      <c r="C45" s="3">
        <v>0</v>
      </c>
      <c r="D45" s="3"/>
      <c r="E45" s="3"/>
      <c r="F45" s="3"/>
      <c r="G45" s="3"/>
      <c r="H45" s="3"/>
      <c r="I45" s="3"/>
      <c r="J45" s="6" cm="1">
        <f t="array" ref="J45">_xlfn.LET(
  _xlpm.rng, C45:I45,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5" t="str">
        <f t="shared" si="0"/>
        <v/>
      </c>
    </row>
    <row r="46" spans="1:12" x14ac:dyDescent="0.4">
      <c r="A46">
        <v>5</v>
      </c>
      <c r="B46">
        <v>5</v>
      </c>
      <c r="C46" s="3">
        <v>0</v>
      </c>
      <c r="D46" s="3"/>
      <c r="E46" s="3"/>
      <c r="F46" s="3"/>
      <c r="G46" s="3"/>
      <c r="H46" s="3"/>
      <c r="I46" s="3"/>
      <c r="J46" s="6" cm="1">
        <f t="array" ref="J46">_xlfn.LET(
  _xlpm.rng, C46:I46,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6" t="str">
        <f t="shared" si="0"/>
        <v/>
      </c>
    </row>
    <row r="47" spans="1:12" x14ac:dyDescent="0.4">
      <c r="A47">
        <v>5</v>
      </c>
      <c r="B47">
        <v>6</v>
      </c>
      <c r="C47" s="3">
        <v>0</v>
      </c>
      <c r="D47" s="3"/>
      <c r="E47" s="3"/>
      <c r="F47" s="3"/>
      <c r="G47" s="3"/>
      <c r="H47" s="3"/>
      <c r="I47" s="3"/>
      <c r="J47" s="6" cm="1">
        <f t="array" ref="J47">_xlfn.LET(
  _xlpm.rng, C47:I47,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7" t="str">
        <f t="shared" si="0"/>
        <v/>
      </c>
    </row>
    <row r="48" spans="1:12" x14ac:dyDescent="0.4">
      <c r="A48">
        <v>5</v>
      </c>
      <c r="B48">
        <v>7</v>
      </c>
      <c r="C48" s="3">
        <v>0</v>
      </c>
      <c r="D48" s="3"/>
      <c r="E48" s="3"/>
      <c r="F48" s="3"/>
      <c r="G48" s="3"/>
      <c r="H48" s="3"/>
      <c r="I48" s="3"/>
      <c r="J48" s="6" cm="1">
        <f t="array" ref="J48">_xlfn.LET(
  _xlpm.rng, C48:I48,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8" t="str">
        <f t="shared" si="0"/>
        <v/>
      </c>
    </row>
    <row r="49" spans="1:12" x14ac:dyDescent="0.4">
      <c r="A49">
        <v>5</v>
      </c>
      <c r="B49">
        <v>8</v>
      </c>
      <c r="C49" s="3">
        <v>0</v>
      </c>
      <c r="D49" s="3"/>
      <c r="E49" s="3"/>
      <c r="F49" s="3"/>
      <c r="G49" s="3"/>
      <c r="H49" s="3"/>
      <c r="I49" s="3"/>
      <c r="J49" s="6" cm="1">
        <f t="array" ref="J49">_xlfn.LET(
  _xlpm.rng, C49:I49,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9" t="str">
        <f t="shared" si="0"/>
        <v/>
      </c>
    </row>
    <row r="50" spans="1:12" x14ac:dyDescent="0.4">
      <c r="A50">
        <v>5</v>
      </c>
      <c r="B50">
        <v>9</v>
      </c>
      <c r="C50" s="3">
        <v>0</v>
      </c>
      <c r="D50" s="3"/>
      <c r="E50" s="3"/>
      <c r="F50" s="3"/>
      <c r="G50" s="3"/>
      <c r="H50" s="3"/>
      <c r="I50" s="3"/>
      <c r="J50" s="6" cm="1">
        <f t="array" ref="J50">_xlfn.LET(
  _xlpm.rng, C50:I50,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50" t="str">
        <f t="shared" si="0"/>
        <v/>
      </c>
    </row>
    <row r="51" spans="1:12" x14ac:dyDescent="0.4">
      <c r="A51">
        <v>5</v>
      </c>
      <c r="B51">
        <v>10</v>
      </c>
      <c r="C51" s="3">
        <v>1</v>
      </c>
      <c r="D51" s="3"/>
      <c r="E51" s="3"/>
      <c r="F51" s="3"/>
      <c r="G51" s="3"/>
      <c r="H51" s="3"/>
      <c r="I51" s="3"/>
      <c r="J51" s="6" cm="1">
        <f t="array" ref="J51">_xlfn.LET(
  _xlpm.rng, C51:I51,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</v>
      </c>
      <c r="L51" t="str">
        <f t="shared" si="0"/>
        <v>5-10 心</v>
      </c>
    </row>
    <row r="52" spans="1:12" x14ac:dyDescent="0.4">
      <c r="A52">
        <v>6</v>
      </c>
      <c r="B52">
        <v>1</v>
      </c>
      <c r="C52" s="3">
        <v>147</v>
      </c>
      <c r="D52" s="3"/>
      <c r="E52" s="3"/>
      <c r="F52" s="3"/>
      <c r="G52" s="3"/>
      <c r="H52" s="3"/>
      <c r="I52" s="3"/>
      <c r="J52" s="6" cm="1">
        <f t="array" ref="J52">_xlfn.LET(
  _xlpm.rng, C52:I52,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147</v>
      </c>
      <c r="K52">
        <v>22</v>
      </c>
      <c r="L52" t="str">
        <f t="shared" si="0"/>
        <v>6-1 心</v>
      </c>
    </row>
    <row r="53" spans="1:12" x14ac:dyDescent="0.4">
      <c r="A53">
        <v>6</v>
      </c>
      <c r="B53">
        <v>2</v>
      </c>
      <c r="C53" s="3">
        <v>4</v>
      </c>
      <c r="D53" s="3"/>
      <c r="E53" s="3"/>
      <c r="F53" s="3"/>
      <c r="G53" s="3"/>
      <c r="H53" s="3"/>
      <c r="I53" s="3"/>
      <c r="J53" s="6" cm="1">
        <f t="array" ref="J53">_xlfn.LET(
  _xlpm.rng, C53:I53,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4</v>
      </c>
      <c r="L53" t="str">
        <f t="shared" si="0"/>
        <v>6-2 心</v>
      </c>
    </row>
    <row r="54" spans="1:12" x14ac:dyDescent="0.4">
      <c r="A54">
        <v>6</v>
      </c>
      <c r="B54">
        <v>3</v>
      </c>
      <c r="C54" s="3">
        <v>7</v>
      </c>
      <c r="D54" s="3"/>
      <c r="E54" s="3"/>
      <c r="F54" s="3"/>
      <c r="G54" s="3"/>
      <c r="H54" s="3"/>
      <c r="I54" s="3"/>
      <c r="J54" s="6" cm="1">
        <f t="array" ref="J54">_xlfn.LET(
  _xlpm.rng, C54:I54,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7</v>
      </c>
      <c r="K54">
        <v>1</v>
      </c>
      <c r="L54" t="str">
        <f t="shared" si="0"/>
        <v>6-3 心</v>
      </c>
    </row>
    <row r="55" spans="1:12" x14ac:dyDescent="0.4">
      <c r="A55">
        <v>6</v>
      </c>
      <c r="B55">
        <v>4</v>
      </c>
      <c r="C55" s="3">
        <v>0</v>
      </c>
      <c r="D55" s="3"/>
      <c r="E55" s="3"/>
      <c r="F55" s="3"/>
      <c r="G55" s="3"/>
      <c r="H55" s="3"/>
      <c r="I55" s="3"/>
      <c r="J55" s="6" cm="1">
        <f t="array" ref="J55">_xlfn.LET(
  _xlpm.rng, C55:I55,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55" t="str">
        <f t="shared" si="0"/>
        <v/>
      </c>
    </row>
    <row r="56" spans="1:12" x14ac:dyDescent="0.4">
      <c r="A56">
        <v>6</v>
      </c>
      <c r="B56">
        <v>5</v>
      </c>
      <c r="C56" s="3">
        <v>72</v>
      </c>
      <c r="D56" s="3"/>
      <c r="E56" s="3"/>
      <c r="F56" s="3"/>
      <c r="G56" s="3"/>
      <c r="H56" s="3"/>
      <c r="I56" s="3"/>
      <c r="J56" s="6" cm="1">
        <f t="array" ref="J56">_xlfn.LET(
  _xlpm.rng, C56:I56,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72</v>
      </c>
      <c r="L56" t="str">
        <f t="shared" si="0"/>
        <v>6-5 心</v>
      </c>
    </row>
    <row r="57" spans="1:12" x14ac:dyDescent="0.4">
      <c r="A57">
        <v>6</v>
      </c>
      <c r="B57">
        <v>6</v>
      </c>
      <c r="C57" s="3">
        <v>0</v>
      </c>
      <c r="D57" s="3"/>
      <c r="E57" s="3"/>
      <c r="F57" s="3"/>
      <c r="G57" s="3"/>
      <c r="H57" s="3"/>
      <c r="I57" s="3"/>
      <c r="J57" s="6" cm="1">
        <f t="array" ref="J57">_xlfn.LET(
  _xlpm.rng, C57:I57,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57" t="str">
        <f t="shared" si="0"/>
        <v/>
      </c>
    </row>
    <row r="58" spans="1:12" x14ac:dyDescent="0.4">
      <c r="A58">
        <v>6</v>
      </c>
      <c r="B58">
        <v>7</v>
      </c>
      <c r="C58" s="3"/>
      <c r="D58" s="3"/>
      <c r="E58" s="3"/>
      <c r="F58" s="3"/>
      <c r="G58" s="3"/>
      <c r="H58" s="3">
        <v>33</v>
      </c>
      <c r="I58" s="3"/>
      <c r="J58" s="6" cm="1">
        <f t="array" ref="J58">_xlfn.LET(
  _xlpm.rng, C58:I58,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3300000</v>
      </c>
      <c r="L58" t="str">
        <f t="shared" si="0"/>
        <v>6-7 心</v>
      </c>
    </row>
    <row r="59" spans="1:12" x14ac:dyDescent="0.4">
      <c r="A59">
        <v>6</v>
      </c>
      <c r="B59">
        <v>8</v>
      </c>
      <c r="C59" s="3">
        <v>4</v>
      </c>
      <c r="D59" s="3"/>
      <c r="E59" s="3"/>
      <c r="F59" s="3"/>
      <c r="G59" s="3"/>
      <c r="H59" s="3"/>
      <c r="I59" s="3"/>
      <c r="J59" s="6" cm="1">
        <f t="array" ref="J59">_xlfn.LET(
  _xlpm.rng, C59:I59,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4</v>
      </c>
      <c r="L59" t="str">
        <f t="shared" si="0"/>
        <v>6-8 心</v>
      </c>
    </row>
    <row r="60" spans="1:12" x14ac:dyDescent="0.4">
      <c r="A60">
        <v>6</v>
      </c>
      <c r="B60">
        <v>9</v>
      </c>
      <c r="C60" s="3">
        <v>0</v>
      </c>
      <c r="D60" s="3"/>
      <c r="E60" s="3"/>
      <c r="F60" s="3"/>
      <c r="G60" s="3"/>
      <c r="H60" s="3"/>
      <c r="I60" s="3"/>
      <c r="J60" s="6" cm="1">
        <f t="array" ref="J60">_xlfn.LET(
  _xlpm.rng, C60:I60,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60" t="str">
        <f t="shared" si="0"/>
        <v/>
      </c>
    </row>
    <row r="61" spans="1:12" x14ac:dyDescent="0.4">
      <c r="A61">
        <v>6</v>
      </c>
      <c r="B61">
        <v>10</v>
      </c>
      <c r="C61" s="3"/>
      <c r="D61" s="3"/>
      <c r="E61" s="3">
        <v>6</v>
      </c>
      <c r="F61" s="3"/>
      <c r="G61" s="3"/>
      <c r="H61" s="3"/>
      <c r="I61" s="3"/>
      <c r="J61" s="6" cm="1">
        <f t="array" ref="J61">_xlfn.LET(
  _xlpm.rng, C61:I61,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600</v>
      </c>
      <c r="L61" t="str">
        <f t="shared" si="0"/>
        <v>6-10 心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3C22-D3B6-4369-B1F4-BEFE25B9F5DB}">
  <dimension ref="A1:L61"/>
  <sheetViews>
    <sheetView topLeftCell="A29" workbookViewId="0">
      <selection activeCell="J2" sqref="J2:J61"/>
    </sheetView>
  </sheetViews>
  <sheetFormatPr defaultRowHeight="18.75" x14ac:dyDescent="0.4"/>
  <cols>
    <col min="11" max="11" width="11.375" bestFit="1" customWidth="1"/>
  </cols>
  <sheetData>
    <row r="1" spans="1:12" x14ac:dyDescent="0.4">
      <c r="A1" t="s">
        <v>0</v>
      </c>
      <c r="B1" t="s">
        <v>1</v>
      </c>
      <c r="C1" s="1">
        <v>1</v>
      </c>
      <c r="D1" s="1">
        <v>10</v>
      </c>
      <c r="E1" s="1">
        <v>100</v>
      </c>
      <c r="F1" s="2">
        <v>1000</v>
      </c>
      <c r="G1" s="1">
        <v>10000</v>
      </c>
      <c r="H1" s="1">
        <f>G1*10</f>
        <v>100000</v>
      </c>
      <c r="I1" s="1">
        <f>H1*10</f>
        <v>1000000</v>
      </c>
      <c r="J1" s="4" t="s">
        <v>5</v>
      </c>
      <c r="K1" t="s">
        <v>7</v>
      </c>
    </row>
    <row r="2" spans="1:12" x14ac:dyDescent="0.4">
      <c r="A2">
        <v>1</v>
      </c>
      <c r="B2">
        <v>1</v>
      </c>
      <c r="C2" s="3">
        <v>3</v>
      </c>
      <c r="D2" s="3"/>
      <c r="E2" s="3"/>
      <c r="F2" s="3"/>
      <c r="G2" s="3"/>
      <c r="H2" s="3"/>
      <c r="I2" s="3"/>
      <c r="J2" s="6" cm="1">
        <f t="array" ref="J2">_xlfn.LET(
  _xlpm.rng, C2:I2,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3</v>
      </c>
      <c r="L2" t="str">
        <f>IF(J2&gt;0,_xlfn.CONCAT(A2,"-",B2," ","脾"),"")</f>
        <v>1-1 脾</v>
      </c>
    </row>
    <row r="3" spans="1:12" x14ac:dyDescent="0.4">
      <c r="A3">
        <v>1</v>
      </c>
      <c r="B3">
        <v>2</v>
      </c>
      <c r="C3" s="3">
        <v>0</v>
      </c>
      <c r="D3" s="3"/>
      <c r="E3" s="3"/>
      <c r="F3" s="3"/>
      <c r="G3" s="3"/>
      <c r="H3" s="3"/>
      <c r="I3" s="3"/>
      <c r="J3" s="6" cm="1">
        <f t="array" ref="J3">_xlfn.LET(
  _xlpm.rng, C3:I3,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3" t="str">
        <f t="shared" ref="L3:L61" si="0">IF(J3&gt;0,_xlfn.CONCAT(A3,"-",B3," ","脾"),"")</f>
        <v/>
      </c>
    </row>
    <row r="4" spans="1:12" x14ac:dyDescent="0.4">
      <c r="A4">
        <v>1</v>
      </c>
      <c r="B4">
        <v>3</v>
      </c>
      <c r="C4" s="3">
        <v>0</v>
      </c>
      <c r="D4" s="3"/>
      <c r="E4" s="3"/>
      <c r="F4" s="3"/>
      <c r="G4" s="3"/>
      <c r="H4" s="3"/>
      <c r="I4" s="3"/>
      <c r="J4" s="6" cm="1">
        <f t="array" ref="J4">_xlfn.LET(
  _xlpm.rng, C4:I4,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" t="str">
        <f t="shared" si="0"/>
        <v/>
      </c>
    </row>
    <row r="5" spans="1:12" x14ac:dyDescent="0.4">
      <c r="A5">
        <v>1</v>
      </c>
      <c r="B5">
        <v>4</v>
      </c>
      <c r="C5" s="3">
        <v>2</v>
      </c>
      <c r="D5" s="3"/>
      <c r="E5" s="3"/>
      <c r="F5" s="3"/>
      <c r="G5" s="3"/>
      <c r="H5" s="3"/>
      <c r="I5" s="3"/>
      <c r="J5" s="6" cm="1">
        <f t="array" ref="J5">_xlfn.LET(
  _xlpm.rng, C5:I5,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</v>
      </c>
      <c r="L5" t="str">
        <f t="shared" si="0"/>
        <v>1-4 脾</v>
      </c>
    </row>
    <row r="6" spans="1:12" x14ac:dyDescent="0.4">
      <c r="A6">
        <v>1</v>
      </c>
      <c r="B6">
        <v>5</v>
      </c>
      <c r="C6" s="3">
        <v>0</v>
      </c>
      <c r="D6" s="3"/>
      <c r="E6" s="3"/>
      <c r="F6" s="3"/>
      <c r="G6" s="3"/>
      <c r="H6" s="3"/>
      <c r="I6" s="3"/>
      <c r="J6" s="6" cm="1">
        <f t="array" ref="J6">_xlfn.LET(
  _xlpm.rng, C6:I6,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6" t="str">
        <f t="shared" si="0"/>
        <v/>
      </c>
    </row>
    <row r="7" spans="1:12" x14ac:dyDescent="0.4">
      <c r="A7">
        <v>1</v>
      </c>
      <c r="B7">
        <v>6</v>
      </c>
      <c r="C7" s="3">
        <v>0</v>
      </c>
      <c r="D7" s="3"/>
      <c r="E7" s="3"/>
      <c r="F7" s="3"/>
      <c r="G7" s="3"/>
      <c r="H7" s="3"/>
      <c r="I7" s="3"/>
      <c r="J7" s="6" cm="1">
        <f t="array" ref="J7">_xlfn.LET(
  _xlpm.rng, C7:I7,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7" t="str">
        <f t="shared" si="0"/>
        <v/>
      </c>
    </row>
    <row r="8" spans="1:12" x14ac:dyDescent="0.4">
      <c r="A8">
        <v>1</v>
      </c>
      <c r="B8">
        <v>7</v>
      </c>
      <c r="C8" s="3"/>
      <c r="D8" s="3"/>
      <c r="E8" s="3"/>
      <c r="F8" s="3"/>
      <c r="G8" s="3">
        <v>10</v>
      </c>
      <c r="H8" s="3"/>
      <c r="I8" s="3"/>
      <c r="J8" s="6" cm="1">
        <f t="array" ref="J8">_xlfn.LET(
  _xlpm.rng, C8:I8,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100000</v>
      </c>
      <c r="L8" t="str">
        <f t="shared" si="0"/>
        <v>1-7 脾</v>
      </c>
    </row>
    <row r="9" spans="1:12" x14ac:dyDescent="0.4">
      <c r="A9">
        <v>1</v>
      </c>
      <c r="B9">
        <v>8</v>
      </c>
      <c r="C9" s="3">
        <v>0</v>
      </c>
      <c r="D9" s="3"/>
      <c r="E9" s="3"/>
      <c r="F9" s="3"/>
      <c r="G9" s="3"/>
      <c r="H9" s="3"/>
      <c r="I9" s="3"/>
      <c r="J9" s="6" cm="1">
        <f t="array" ref="J9">_xlfn.LET(
  _xlpm.rng, C9:I9,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9" t="str">
        <f t="shared" si="0"/>
        <v/>
      </c>
    </row>
    <row r="10" spans="1:12" x14ac:dyDescent="0.4">
      <c r="A10">
        <v>1</v>
      </c>
      <c r="B10">
        <v>9</v>
      </c>
      <c r="C10" s="3">
        <v>0</v>
      </c>
      <c r="D10" s="3"/>
      <c r="E10" s="3"/>
      <c r="F10" s="3"/>
      <c r="G10" s="3"/>
      <c r="H10" s="3"/>
      <c r="I10" s="3"/>
      <c r="J10" s="6" cm="1">
        <f t="array" ref="J10">_xlfn.LET(
  _xlpm.rng, C10:I10,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0" t="str">
        <f t="shared" si="0"/>
        <v/>
      </c>
    </row>
    <row r="11" spans="1:12" x14ac:dyDescent="0.4">
      <c r="A11">
        <v>1</v>
      </c>
      <c r="B11">
        <v>10</v>
      </c>
      <c r="C11" s="3">
        <v>0</v>
      </c>
      <c r="D11" s="3"/>
      <c r="E11" s="3"/>
      <c r="F11" s="3"/>
      <c r="G11" s="3"/>
      <c r="H11" s="3"/>
      <c r="I11" s="3"/>
      <c r="J11" s="6" cm="1">
        <f t="array" ref="J11">_xlfn.LET(
  _xlpm.rng, C11:I11,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1" t="str">
        <f t="shared" si="0"/>
        <v/>
      </c>
    </row>
    <row r="12" spans="1:12" x14ac:dyDescent="0.4">
      <c r="A12">
        <v>2</v>
      </c>
      <c r="B12">
        <v>1</v>
      </c>
      <c r="C12" s="3">
        <v>0</v>
      </c>
      <c r="D12" s="3"/>
      <c r="E12" s="3"/>
      <c r="F12" s="3"/>
      <c r="G12" s="3"/>
      <c r="H12" s="3"/>
      <c r="I12" s="3"/>
      <c r="J12" s="6" cm="1">
        <f t="array" ref="J12">_xlfn.LET(
  _xlpm.rng, C12:I12,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2" t="str">
        <f t="shared" si="0"/>
        <v/>
      </c>
    </row>
    <row r="13" spans="1:12" x14ac:dyDescent="0.4">
      <c r="A13">
        <v>2</v>
      </c>
      <c r="B13">
        <v>2</v>
      </c>
      <c r="C13" s="3">
        <v>0</v>
      </c>
      <c r="D13" s="3"/>
      <c r="E13" s="3"/>
      <c r="F13" s="3"/>
      <c r="G13" s="3"/>
      <c r="H13" s="3"/>
      <c r="I13" s="3"/>
      <c r="J13" s="6" cm="1">
        <f t="array" ref="J13">_xlfn.LET(
  _xlpm.rng, C13:I13,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3" t="str">
        <f t="shared" si="0"/>
        <v/>
      </c>
    </row>
    <row r="14" spans="1:12" x14ac:dyDescent="0.4">
      <c r="A14">
        <v>2</v>
      </c>
      <c r="B14">
        <v>3</v>
      </c>
      <c r="C14" s="3">
        <v>33</v>
      </c>
      <c r="D14" s="3"/>
      <c r="E14" s="3"/>
      <c r="F14" s="3"/>
      <c r="G14" s="3"/>
      <c r="H14" s="3"/>
      <c r="I14" s="3"/>
      <c r="J14" s="6" cm="1">
        <f t="array" ref="J14">_xlfn.LET(
  _xlpm.rng, C14:I14,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33</v>
      </c>
      <c r="K14">
        <v>3</v>
      </c>
      <c r="L14" t="str">
        <f t="shared" si="0"/>
        <v>2-3 脾</v>
      </c>
    </row>
    <row r="15" spans="1:12" x14ac:dyDescent="0.4">
      <c r="A15">
        <v>2</v>
      </c>
      <c r="B15">
        <v>4</v>
      </c>
      <c r="C15" s="3">
        <v>98</v>
      </c>
      <c r="D15" s="3"/>
      <c r="E15" s="3">
        <v>2</v>
      </c>
      <c r="F15" s="3"/>
      <c r="G15" s="3"/>
      <c r="H15" s="3"/>
      <c r="I15" s="3"/>
      <c r="J15" s="6" cm="1">
        <f t="array" ref="J15">_xlfn.LET(
  _xlpm.rng, C15:I15,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98</v>
      </c>
      <c r="L15" t="str">
        <f t="shared" si="0"/>
        <v>2-4 脾</v>
      </c>
    </row>
    <row r="16" spans="1:12" x14ac:dyDescent="0.4">
      <c r="A16">
        <v>2</v>
      </c>
      <c r="B16">
        <v>5</v>
      </c>
      <c r="C16" s="3">
        <v>35</v>
      </c>
      <c r="D16" s="3"/>
      <c r="E16" s="3"/>
      <c r="F16" s="3"/>
      <c r="G16" s="3"/>
      <c r="H16" s="3"/>
      <c r="I16" s="3"/>
      <c r="J16" s="6" cm="1">
        <f t="array" ref="J16">_xlfn.LET(
  _xlpm.rng, C16:I16,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35</v>
      </c>
      <c r="L16" t="str">
        <f t="shared" si="0"/>
        <v>2-5 脾</v>
      </c>
    </row>
    <row r="17" spans="1:12" x14ac:dyDescent="0.4">
      <c r="A17">
        <v>2</v>
      </c>
      <c r="B17">
        <v>6</v>
      </c>
      <c r="C17" s="3">
        <v>12</v>
      </c>
      <c r="D17" s="3"/>
      <c r="E17" s="3"/>
      <c r="F17" s="3"/>
      <c r="G17" s="3"/>
      <c r="H17" s="3"/>
      <c r="I17" s="3"/>
      <c r="J17" s="6" cm="1">
        <f t="array" ref="J17">_xlfn.LET(
  _xlpm.rng, C17:I17,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12</v>
      </c>
      <c r="L17" t="str">
        <f t="shared" si="0"/>
        <v>2-6 脾</v>
      </c>
    </row>
    <row r="18" spans="1:12" x14ac:dyDescent="0.4">
      <c r="A18">
        <v>2</v>
      </c>
      <c r="B18">
        <v>7</v>
      </c>
      <c r="C18" s="3">
        <v>0</v>
      </c>
      <c r="D18" s="3"/>
      <c r="E18" s="3"/>
      <c r="F18" s="3"/>
      <c r="G18" s="3"/>
      <c r="H18" s="3"/>
      <c r="I18" s="3"/>
      <c r="J18" s="6" cm="1">
        <f t="array" ref="J18">_xlfn.LET(
  _xlpm.rng, C18:I18,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8" t="str">
        <f t="shared" si="0"/>
        <v/>
      </c>
    </row>
    <row r="19" spans="1:12" x14ac:dyDescent="0.4">
      <c r="A19">
        <v>2</v>
      </c>
      <c r="B19">
        <v>8</v>
      </c>
      <c r="C19" s="3">
        <v>0</v>
      </c>
      <c r="D19" s="3"/>
      <c r="E19" s="3"/>
      <c r="F19" s="3"/>
      <c r="G19" s="3"/>
      <c r="H19" s="3"/>
      <c r="I19" s="3"/>
      <c r="J19" s="6" cm="1">
        <f t="array" ref="J19">_xlfn.LET(
  _xlpm.rng, C19:I19,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19" t="str">
        <f t="shared" si="0"/>
        <v/>
      </c>
    </row>
    <row r="20" spans="1:12" x14ac:dyDescent="0.4">
      <c r="A20">
        <v>2</v>
      </c>
      <c r="B20">
        <v>9</v>
      </c>
      <c r="C20" s="3">
        <v>7</v>
      </c>
      <c r="D20" s="3"/>
      <c r="E20" s="3"/>
      <c r="F20" s="3"/>
      <c r="G20" s="3"/>
      <c r="H20" s="3"/>
      <c r="I20" s="3"/>
      <c r="J20" s="6" cm="1">
        <f t="array" ref="J20">_xlfn.LET(
  _xlpm.rng, C20:I20,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7</v>
      </c>
      <c r="L20" t="str">
        <f t="shared" si="0"/>
        <v>2-9 脾</v>
      </c>
    </row>
    <row r="21" spans="1:12" x14ac:dyDescent="0.4">
      <c r="A21">
        <v>2</v>
      </c>
      <c r="B21">
        <v>10</v>
      </c>
      <c r="C21" s="3">
        <v>25</v>
      </c>
      <c r="D21" s="3"/>
      <c r="E21" s="3"/>
      <c r="F21" s="3"/>
      <c r="G21" s="3"/>
      <c r="H21" s="3"/>
      <c r="I21" s="3"/>
      <c r="J21" s="6" cm="1">
        <f t="array" ref="J21">_xlfn.LET(
  _xlpm.rng, C21:I21,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25</v>
      </c>
      <c r="L21" t="str">
        <f t="shared" si="0"/>
        <v>2-10 脾</v>
      </c>
    </row>
    <row r="22" spans="1:12" x14ac:dyDescent="0.4">
      <c r="A22">
        <v>3</v>
      </c>
      <c r="B22">
        <v>1</v>
      </c>
      <c r="C22" s="3">
        <v>11</v>
      </c>
      <c r="D22" s="3"/>
      <c r="E22" s="3"/>
      <c r="F22" s="3"/>
      <c r="G22" s="3"/>
      <c r="H22" s="3"/>
      <c r="I22" s="3"/>
      <c r="J22" s="6" cm="1">
        <f t="array" ref="J22">_xlfn.LET(
  _xlpm.rng, C22:I22,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11</v>
      </c>
      <c r="L22" t="str">
        <f t="shared" si="0"/>
        <v>3-1 脾</v>
      </c>
    </row>
    <row r="23" spans="1:12" x14ac:dyDescent="0.4">
      <c r="A23">
        <v>3</v>
      </c>
      <c r="B23">
        <v>2</v>
      </c>
      <c r="C23" s="3">
        <v>29</v>
      </c>
      <c r="D23" s="3"/>
      <c r="E23" s="3"/>
      <c r="F23" s="3"/>
      <c r="G23" s="3"/>
      <c r="H23" s="3"/>
      <c r="I23" s="3"/>
      <c r="J23" s="6" cm="1">
        <f t="array" ref="J23">_xlfn.LET(
  _xlpm.rng, C23:I23,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29</v>
      </c>
      <c r="L23" t="str">
        <f t="shared" si="0"/>
        <v>3-2 脾</v>
      </c>
    </row>
    <row r="24" spans="1:12" x14ac:dyDescent="0.4">
      <c r="A24">
        <v>3</v>
      </c>
      <c r="B24">
        <v>3</v>
      </c>
      <c r="C24" s="3">
        <v>97</v>
      </c>
      <c r="D24" s="3"/>
      <c r="E24" s="3"/>
      <c r="F24" s="3"/>
      <c r="G24" s="3"/>
      <c r="H24" s="3"/>
      <c r="I24" s="3"/>
      <c r="J24" s="6" cm="1">
        <f t="array" ref="J24">_xlfn.LET(
  _xlpm.rng, C24:I24,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97</v>
      </c>
      <c r="L24" t="str">
        <f t="shared" si="0"/>
        <v>3-3 脾</v>
      </c>
    </row>
    <row r="25" spans="1:12" x14ac:dyDescent="0.4">
      <c r="A25">
        <v>3</v>
      </c>
      <c r="B25">
        <v>4</v>
      </c>
      <c r="C25" s="3"/>
      <c r="D25" s="3"/>
      <c r="E25" s="3"/>
      <c r="F25" s="3"/>
      <c r="G25" s="3"/>
      <c r="H25" s="3">
        <v>85</v>
      </c>
      <c r="I25" s="3"/>
      <c r="J25" s="6" cm="1">
        <f t="array" ref="J25">_xlfn.LET(
  _xlpm.rng, C25:I25,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8500000</v>
      </c>
      <c r="L25" t="str">
        <f t="shared" si="0"/>
        <v>3-4 脾</v>
      </c>
    </row>
    <row r="26" spans="1:12" x14ac:dyDescent="0.4">
      <c r="A26">
        <v>3</v>
      </c>
      <c r="B26">
        <v>5</v>
      </c>
      <c r="C26" s="3">
        <v>1</v>
      </c>
      <c r="D26" s="3"/>
      <c r="E26" s="3"/>
      <c r="F26" s="3"/>
      <c r="G26" s="3"/>
      <c r="H26" s="3"/>
      <c r="I26" s="3"/>
      <c r="J26" s="6" cm="1">
        <f t="array" ref="J26">_xlfn.LET(
  _xlpm.rng, C26:I26,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</v>
      </c>
      <c r="L26" t="str">
        <f t="shared" si="0"/>
        <v>3-5 脾</v>
      </c>
    </row>
    <row r="27" spans="1:12" x14ac:dyDescent="0.4">
      <c r="A27">
        <v>3</v>
      </c>
      <c r="B27">
        <v>6</v>
      </c>
      <c r="C27" s="3">
        <v>0</v>
      </c>
      <c r="D27" s="3"/>
      <c r="E27" s="3"/>
      <c r="F27" s="3"/>
      <c r="G27" s="3"/>
      <c r="H27" s="3"/>
      <c r="I27" s="3"/>
      <c r="J27" s="6" cm="1">
        <f t="array" ref="J27">_xlfn.LET(
  _xlpm.rng, C27:I27,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27" t="str">
        <f t="shared" si="0"/>
        <v/>
      </c>
    </row>
    <row r="28" spans="1:12" x14ac:dyDescent="0.4">
      <c r="A28">
        <v>3</v>
      </c>
      <c r="B28">
        <v>7</v>
      </c>
      <c r="C28" s="3">
        <v>118</v>
      </c>
      <c r="D28" s="3"/>
      <c r="E28" s="3">
        <v>1</v>
      </c>
      <c r="F28" s="3"/>
      <c r="G28" s="3"/>
      <c r="H28" s="3"/>
      <c r="I28" s="3"/>
      <c r="J28" s="6" cm="1">
        <f t="array" ref="J28">_xlfn.LET(
  _xlpm.rng, C28:I28,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118</v>
      </c>
      <c r="L28" t="str">
        <f t="shared" si="0"/>
        <v>3-7 脾</v>
      </c>
    </row>
    <row r="29" spans="1:12" x14ac:dyDescent="0.4">
      <c r="A29">
        <v>3</v>
      </c>
      <c r="B29">
        <v>8</v>
      </c>
      <c r="C29" s="3">
        <v>185</v>
      </c>
      <c r="D29" s="3"/>
      <c r="E29" s="3"/>
      <c r="F29" s="3"/>
      <c r="G29" s="3"/>
      <c r="H29" s="3"/>
      <c r="I29" s="3"/>
      <c r="J29" s="6" cm="1">
        <f t="array" ref="J29">_xlfn.LET(
  _xlpm.rng, C29:I29,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185</v>
      </c>
      <c r="L29" t="str">
        <f t="shared" si="0"/>
        <v>3-8 脾</v>
      </c>
    </row>
    <row r="30" spans="1:12" x14ac:dyDescent="0.4">
      <c r="A30">
        <v>3</v>
      </c>
      <c r="B30">
        <v>9</v>
      </c>
      <c r="C30" s="3">
        <v>27</v>
      </c>
      <c r="D30" s="3"/>
      <c r="E30" s="3"/>
      <c r="F30" s="3"/>
      <c r="G30" s="3"/>
      <c r="H30" s="3"/>
      <c r="I30" s="3"/>
      <c r="J30" s="6" cm="1">
        <f t="array" ref="J30">_xlfn.LET(
  _xlpm.rng, C30:I30,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27</v>
      </c>
      <c r="L30" t="str">
        <f t="shared" si="0"/>
        <v>3-9 脾</v>
      </c>
    </row>
    <row r="31" spans="1:12" x14ac:dyDescent="0.4">
      <c r="A31">
        <v>3</v>
      </c>
      <c r="B31">
        <v>10</v>
      </c>
      <c r="C31" s="3">
        <v>4</v>
      </c>
      <c r="D31" s="3"/>
      <c r="E31" s="3"/>
      <c r="F31" s="3"/>
      <c r="G31" s="3"/>
      <c r="H31" s="3"/>
      <c r="I31" s="3"/>
      <c r="J31" s="6" cm="1">
        <f t="array" ref="J31">_xlfn.LET(
  _xlpm.rng, C31:I31,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4</v>
      </c>
      <c r="L31" t="str">
        <f t="shared" si="0"/>
        <v>3-10 脾</v>
      </c>
    </row>
    <row r="32" spans="1:12" x14ac:dyDescent="0.4">
      <c r="A32">
        <v>4</v>
      </c>
      <c r="B32">
        <v>1</v>
      </c>
      <c r="C32" s="3">
        <v>14</v>
      </c>
      <c r="D32" s="3"/>
      <c r="E32" s="3"/>
      <c r="F32" s="3"/>
      <c r="G32" s="3"/>
      <c r="H32" s="3"/>
      <c r="I32" s="3"/>
      <c r="J32" s="6" cm="1">
        <f t="array" ref="J32">_xlfn.LET(
  _xlpm.rng, C32:I32,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14</v>
      </c>
      <c r="L32" t="str">
        <f t="shared" si="0"/>
        <v>4-1 脾</v>
      </c>
    </row>
    <row r="33" spans="1:12" x14ac:dyDescent="0.4">
      <c r="A33">
        <v>4</v>
      </c>
      <c r="B33">
        <v>2</v>
      </c>
      <c r="C33" s="3">
        <v>2</v>
      </c>
      <c r="D33" s="3"/>
      <c r="E33" s="3"/>
      <c r="F33" s="3"/>
      <c r="G33" s="3"/>
      <c r="H33" s="3"/>
      <c r="I33" s="3"/>
      <c r="J33" s="6" cm="1">
        <f t="array" ref="J33">_xlfn.LET(
  _xlpm.rng, C33:I33,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</v>
      </c>
      <c r="L33" t="str">
        <f t="shared" si="0"/>
        <v>4-2 脾</v>
      </c>
    </row>
    <row r="34" spans="1:12" x14ac:dyDescent="0.4">
      <c r="A34">
        <v>4</v>
      </c>
      <c r="B34">
        <v>3</v>
      </c>
      <c r="C34" s="3">
        <v>4</v>
      </c>
      <c r="D34" s="3"/>
      <c r="E34" s="3"/>
      <c r="F34" s="3"/>
      <c r="G34" s="3"/>
      <c r="H34" s="3"/>
      <c r="I34" s="3"/>
      <c r="J34" s="6" cm="1">
        <f t="array" ref="J34">_xlfn.LET(
  _xlpm.rng, C34:I34,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4</v>
      </c>
      <c r="L34" t="str">
        <f t="shared" si="0"/>
        <v>4-3 脾</v>
      </c>
    </row>
    <row r="35" spans="1:12" x14ac:dyDescent="0.4">
      <c r="A35">
        <v>4</v>
      </c>
      <c r="B35">
        <v>4</v>
      </c>
      <c r="C35" s="3"/>
      <c r="D35" s="3"/>
      <c r="E35" s="3">
        <v>10</v>
      </c>
      <c r="F35" s="3"/>
      <c r="G35" s="3"/>
      <c r="H35" s="3"/>
      <c r="I35" s="3"/>
      <c r="J35" s="6" cm="1">
        <f t="array" ref="J35">_xlfn.LET(
  _xlpm.rng, C35:I35,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1000</v>
      </c>
      <c r="L35" t="str">
        <f t="shared" si="0"/>
        <v>4-4 脾</v>
      </c>
    </row>
    <row r="36" spans="1:12" x14ac:dyDescent="0.4">
      <c r="A36">
        <v>4</v>
      </c>
      <c r="B36">
        <v>5</v>
      </c>
      <c r="C36" s="3">
        <v>102</v>
      </c>
      <c r="D36" s="3"/>
      <c r="E36" s="3"/>
      <c r="F36" s="3"/>
      <c r="G36" s="3"/>
      <c r="H36" s="3"/>
      <c r="I36" s="3"/>
      <c r="J36" s="6" cm="1">
        <f t="array" ref="J36">_xlfn.LET(
  _xlpm.rng, C36:I36,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102</v>
      </c>
      <c r="L36" t="str">
        <f t="shared" si="0"/>
        <v>4-5 脾</v>
      </c>
    </row>
    <row r="37" spans="1:12" x14ac:dyDescent="0.4">
      <c r="A37">
        <v>4</v>
      </c>
      <c r="B37">
        <v>6</v>
      </c>
      <c r="C37" s="3">
        <v>1</v>
      </c>
      <c r="D37" s="3"/>
      <c r="E37" s="3"/>
      <c r="F37" s="3"/>
      <c r="G37" s="3"/>
      <c r="H37" s="3"/>
      <c r="I37" s="3"/>
      <c r="J37" s="6" cm="1">
        <f t="array" ref="J37">_xlfn.LET(
  _xlpm.rng, C37:I37,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</v>
      </c>
      <c r="L37" t="str">
        <f t="shared" si="0"/>
        <v>4-6 脾</v>
      </c>
    </row>
    <row r="38" spans="1:12" x14ac:dyDescent="0.4">
      <c r="A38">
        <v>4</v>
      </c>
      <c r="B38">
        <v>7</v>
      </c>
      <c r="C38" s="3"/>
      <c r="D38" s="3"/>
      <c r="E38" s="3">
        <v>2</v>
      </c>
      <c r="F38" s="3"/>
      <c r="G38" s="3"/>
      <c r="H38" s="3"/>
      <c r="I38" s="3"/>
      <c r="J38" s="6" cm="1">
        <f t="array" ref="J38">_xlfn.LET(
  _xlpm.rng, C38:I38,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200</v>
      </c>
      <c r="L38" t="str">
        <f t="shared" si="0"/>
        <v>4-7 脾</v>
      </c>
    </row>
    <row r="39" spans="1:12" x14ac:dyDescent="0.4">
      <c r="A39">
        <v>4</v>
      </c>
      <c r="B39">
        <v>8</v>
      </c>
      <c r="C39" s="3">
        <v>0</v>
      </c>
      <c r="D39" s="3"/>
      <c r="E39" s="3"/>
      <c r="F39" s="3"/>
      <c r="G39" s="3"/>
      <c r="H39" s="3"/>
      <c r="I39" s="3"/>
      <c r="J39" s="6" cm="1">
        <f t="array" ref="J39">_xlfn.LET(
  _xlpm.rng, C39:I39,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39" t="str">
        <f t="shared" si="0"/>
        <v/>
      </c>
    </row>
    <row r="40" spans="1:12" x14ac:dyDescent="0.4">
      <c r="A40">
        <v>4</v>
      </c>
      <c r="B40">
        <v>9</v>
      </c>
      <c r="C40" s="3">
        <v>156</v>
      </c>
      <c r="D40" s="3"/>
      <c r="E40" s="3">
        <v>1</v>
      </c>
      <c r="F40" s="3"/>
      <c r="G40" s="3"/>
      <c r="H40" s="3"/>
      <c r="I40" s="3"/>
      <c r="J40" s="6" cm="1">
        <f t="array" ref="J40">_xlfn.LET(
  _xlpm.rng, C40:I40,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156</v>
      </c>
      <c r="L40" t="str">
        <f t="shared" si="0"/>
        <v>4-9 脾</v>
      </c>
    </row>
    <row r="41" spans="1:12" x14ac:dyDescent="0.4">
      <c r="A41">
        <v>4</v>
      </c>
      <c r="B41">
        <v>10</v>
      </c>
      <c r="C41" s="3">
        <v>0</v>
      </c>
      <c r="D41" s="3"/>
      <c r="E41" s="3"/>
      <c r="F41" s="3"/>
      <c r="G41" s="3"/>
      <c r="H41" s="3"/>
      <c r="I41" s="3"/>
      <c r="J41" s="6" cm="1">
        <f t="array" ref="J41">_xlfn.LET(
  _xlpm.rng, C41:I41,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1" t="str">
        <f t="shared" si="0"/>
        <v/>
      </c>
    </row>
    <row r="42" spans="1:12" x14ac:dyDescent="0.4">
      <c r="A42">
        <v>5</v>
      </c>
      <c r="B42">
        <v>1</v>
      </c>
      <c r="C42" s="3">
        <v>0</v>
      </c>
      <c r="D42" s="3"/>
      <c r="E42" s="3"/>
      <c r="F42" s="3"/>
      <c r="G42" s="3"/>
      <c r="H42" s="3"/>
      <c r="I42" s="3"/>
      <c r="J42" s="6" cm="1">
        <f t="array" ref="J42">_xlfn.LET(
  _xlpm.rng, C42:I42,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2" t="str">
        <f t="shared" si="0"/>
        <v/>
      </c>
    </row>
    <row r="43" spans="1:12" x14ac:dyDescent="0.4">
      <c r="A43">
        <v>5</v>
      </c>
      <c r="B43">
        <v>2</v>
      </c>
      <c r="C43" s="3">
        <v>11</v>
      </c>
      <c r="D43" s="3"/>
      <c r="E43" s="3"/>
      <c r="F43" s="3"/>
      <c r="G43" s="3"/>
      <c r="H43" s="3"/>
      <c r="I43" s="3"/>
      <c r="J43" s="6" cm="1">
        <f t="array" ref="J43">_xlfn.LET(
  _xlpm.rng, C43:I43,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11</v>
      </c>
      <c r="L43" t="str">
        <f t="shared" si="0"/>
        <v>5-2 脾</v>
      </c>
    </row>
    <row r="44" spans="1:12" x14ac:dyDescent="0.4">
      <c r="A44">
        <v>5</v>
      </c>
      <c r="B44">
        <v>3</v>
      </c>
      <c r="C44" s="3">
        <v>129</v>
      </c>
      <c r="D44" s="3"/>
      <c r="E44" s="3">
        <v>3</v>
      </c>
      <c r="F44" s="3"/>
      <c r="G44" s="3"/>
      <c r="H44" s="3"/>
      <c r="I44" s="3"/>
      <c r="J44" s="6" cm="1">
        <f t="array" ref="J44">_xlfn.LET(
  _xlpm.rng, C44:I44,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129</v>
      </c>
      <c r="L44" t="str">
        <f t="shared" si="0"/>
        <v>5-3 脾</v>
      </c>
    </row>
    <row r="45" spans="1:12" x14ac:dyDescent="0.4">
      <c r="A45">
        <v>5</v>
      </c>
      <c r="B45">
        <v>4</v>
      </c>
      <c r="C45" s="3">
        <v>0</v>
      </c>
      <c r="D45" s="3"/>
      <c r="E45" s="3"/>
      <c r="F45" s="3"/>
      <c r="G45" s="3"/>
      <c r="H45" s="3"/>
      <c r="I45" s="3"/>
      <c r="J45" s="6" cm="1">
        <f t="array" ref="J45">_xlfn.LET(
  _xlpm.rng, C45:I45,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45" t="str">
        <f t="shared" si="0"/>
        <v/>
      </c>
    </row>
    <row r="46" spans="1:12" x14ac:dyDescent="0.4">
      <c r="A46">
        <v>5</v>
      </c>
      <c r="B46">
        <v>5</v>
      </c>
      <c r="C46" s="3">
        <v>58</v>
      </c>
      <c r="D46" s="3"/>
      <c r="E46" s="3">
        <v>3</v>
      </c>
      <c r="F46" s="3"/>
      <c r="G46" s="3"/>
      <c r="H46" s="3"/>
      <c r="I46" s="3"/>
      <c r="J46" s="6" cm="1">
        <f t="array" ref="J46">_xlfn.LET(
  _xlpm.rng, C46:I46,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58</v>
      </c>
      <c r="L46" t="str">
        <f t="shared" si="0"/>
        <v>5-5 脾</v>
      </c>
    </row>
    <row r="47" spans="1:12" x14ac:dyDescent="0.4">
      <c r="A47">
        <v>5</v>
      </c>
      <c r="B47">
        <v>6</v>
      </c>
      <c r="C47" s="3">
        <v>1</v>
      </c>
      <c r="D47" s="3"/>
      <c r="E47" s="3"/>
      <c r="F47" s="3"/>
      <c r="G47" s="3"/>
      <c r="H47" s="3"/>
      <c r="I47" s="3"/>
      <c r="J47" s="6" cm="1">
        <f t="array" ref="J47">_xlfn.LET(
  _xlpm.rng, C47:I47,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</v>
      </c>
      <c r="L47" t="str">
        <f t="shared" si="0"/>
        <v>5-6 脾</v>
      </c>
    </row>
    <row r="48" spans="1:12" x14ac:dyDescent="0.4">
      <c r="A48">
        <v>5</v>
      </c>
      <c r="B48">
        <v>7</v>
      </c>
      <c r="C48" s="3">
        <v>6</v>
      </c>
      <c r="D48" s="3"/>
      <c r="E48" s="3"/>
      <c r="F48" s="3"/>
      <c r="G48" s="3"/>
      <c r="H48" s="3"/>
      <c r="I48" s="3"/>
      <c r="J48" s="6" cm="1">
        <f t="array" ref="J48">_xlfn.LET(
  _xlpm.rng, C48:I48,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6</v>
      </c>
      <c r="L48" t="str">
        <f t="shared" si="0"/>
        <v>5-7 脾</v>
      </c>
    </row>
    <row r="49" spans="1:12" x14ac:dyDescent="0.4">
      <c r="A49">
        <v>5</v>
      </c>
      <c r="B49">
        <v>8</v>
      </c>
      <c r="C49" s="3">
        <v>14</v>
      </c>
      <c r="D49" s="3"/>
      <c r="E49" s="3"/>
      <c r="F49" s="3"/>
      <c r="G49" s="3"/>
      <c r="H49" s="3"/>
      <c r="I49" s="3"/>
      <c r="J49" s="6" cm="1">
        <f t="array" ref="J49">_xlfn.LET(
  _xlpm.rng, C49:I49,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14</v>
      </c>
      <c r="L49" t="str">
        <f t="shared" si="0"/>
        <v>5-8 脾</v>
      </c>
    </row>
    <row r="50" spans="1:12" x14ac:dyDescent="0.4">
      <c r="A50">
        <v>5</v>
      </c>
      <c r="B50">
        <v>9</v>
      </c>
      <c r="C50" s="3">
        <v>0</v>
      </c>
      <c r="D50" s="3"/>
      <c r="E50" s="3"/>
      <c r="F50" s="3"/>
      <c r="G50" s="3"/>
      <c r="H50" s="3"/>
      <c r="I50" s="3"/>
      <c r="J50" s="6" cm="1">
        <f t="array" ref="J50">_xlfn.LET(
  _xlpm.rng, C50:I50,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50" t="str">
        <f t="shared" si="0"/>
        <v/>
      </c>
    </row>
    <row r="51" spans="1:12" x14ac:dyDescent="0.4">
      <c r="A51">
        <v>5</v>
      </c>
      <c r="B51">
        <v>10</v>
      </c>
      <c r="C51" s="3">
        <v>9</v>
      </c>
      <c r="D51" s="3"/>
      <c r="E51" s="3"/>
      <c r="F51" s="3"/>
      <c r="G51" s="3"/>
      <c r="H51" s="3"/>
      <c r="I51" s="3"/>
      <c r="J51" s="6" cm="1">
        <f t="array" ref="J51">_xlfn.LET(
  _xlpm.rng, C51:I51,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9</v>
      </c>
      <c r="L51" t="str">
        <f t="shared" si="0"/>
        <v>5-10 脾</v>
      </c>
    </row>
    <row r="52" spans="1:12" x14ac:dyDescent="0.4">
      <c r="A52">
        <v>6</v>
      </c>
      <c r="B52">
        <v>1</v>
      </c>
      <c r="C52" s="3">
        <v>194</v>
      </c>
      <c r="D52" s="3"/>
      <c r="E52" s="3">
        <v>5</v>
      </c>
      <c r="F52" s="3"/>
      <c r="G52" s="3"/>
      <c r="H52" s="3"/>
      <c r="I52" s="3"/>
      <c r="J52" s="6" cm="1">
        <f t="array" ref="J52">_xlfn.LET(
  _xlpm.rng, C52:I52,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194</v>
      </c>
      <c r="K52">
        <v>26</v>
      </c>
      <c r="L52" t="str">
        <f t="shared" si="0"/>
        <v>6-1 脾</v>
      </c>
    </row>
    <row r="53" spans="1:12" x14ac:dyDescent="0.4">
      <c r="A53">
        <v>6</v>
      </c>
      <c r="B53">
        <v>2</v>
      </c>
      <c r="C53" s="3"/>
      <c r="D53" s="3"/>
      <c r="E53" s="3">
        <v>4</v>
      </c>
      <c r="F53" s="3"/>
      <c r="G53" s="3"/>
      <c r="H53" s="3"/>
      <c r="I53" s="3"/>
      <c r="J53" s="6" cm="1">
        <f t="array" ref="J53">_xlfn.LET(
  _xlpm.rng, C53:I53,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400</v>
      </c>
      <c r="L53" t="str">
        <f t="shared" si="0"/>
        <v>6-2 脾</v>
      </c>
    </row>
    <row r="54" spans="1:12" x14ac:dyDescent="0.4">
      <c r="A54">
        <v>6</v>
      </c>
      <c r="B54">
        <v>3</v>
      </c>
      <c r="C54" s="3">
        <v>26</v>
      </c>
      <c r="D54" s="3"/>
      <c r="E54" s="3"/>
      <c r="F54" s="3"/>
      <c r="G54" s="3"/>
      <c r="H54" s="3"/>
      <c r="I54" s="3"/>
      <c r="J54" s="6" cm="1">
        <f t="array" ref="J54">_xlfn.LET(
  _xlpm.rng, C54:I54,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26</v>
      </c>
      <c r="L54" t="str">
        <f t="shared" si="0"/>
        <v>6-3 脾</v>
      </c>
    </row>
    <row r="55" spans="1:12" x14ac:dyDescent="0.4">
      <c r="A55">
        <v>6</v>
      </c>
      <c r="B55">
        <v>4</v>
      </c>
      <c r="C55" s="3">
        <v>15</v>
      </c>
      <c r="D55" s="3"/>
      <c r="E55" s="3"/>
      <c r="F55" s="3"/>
      <c r="G55" s="3"/>
      <c r="H55" s="3"/>
      <c r="I55" s="3"/>
      <c r="J55" s="6" cm="1">
        <f t="array" ref="J55">_xlfn.LET(
  _xlpm.rng, C55:I55,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15</v>
      </c>
      <c r="L55" t="str">
        <f t="shared" si="0"/>
        <v>6-4 脾</v>
      </c>
    </row>
    <row r="56" spans="1:12" x14ac:dyDescent="0.4">
      <c r="A56">
        <v>6</v>
      </c>
      <c r="B56">
        <v>5</v>
      </c>
      <c r="C56" s="3">
        <v>141</v>
      </c>
      <c r="D56" s="3"/>
      <c r="E56" s="3"/>
      <c r="F56" s="3"/>
      <c r="G56" s="3"/>
      <c r="H56" s="3"/>
      <c r="I56" s="3"/>
      <c r="J56" s="6" cm="1">
        <f t="array" ref="J56">_xlfn.LET(
  _xlpm.rng, C56:I56,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141</v>
      </c>
      <c r="K56">
        <v>3</v>
      </c>
      <c r="L56" t="str">
        <f t="shared" si="0"/>
        <v>6-5 脾</v>
      </c>
    </row>
    <row r="57" spans="1:12" x14ac:dyDescent="0.4">
      <c r="A57">
        <v>6</v>
      </c>
      <c r="B57">
        <v>6</v>
      </c>
      <c r="C57" s="3">
        <v>0</v>
      </c>
      <c r="D57" s="3"/>
      <c r="E57" s="3"/>
      <c r="F57" s="3"/>
      <c r="G57" s="3"/>
      <c r="H57" s="3"/>
      <c r="I57" s="3"/>
      <c r="J57" s="6" cm="1">
        <f t="array" ref="J57">_xlfn.LET(
  _xlpm.rng, C57:I57,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0</v>
      </c>
      <c r="L57" t="str">
        <f t="shared" si="0"/>
        <v/>
      </c>
    </row>
    <row r="58" spans="1:12" x14ac:dyDescent="0.4">
      <c r="A58">
        <v>6</v>
      </c>
      <c r="B58">
        <v>7</v>
      </c>
      <c r="C58" s="3"/>
      <c r="D58" s="3"/>
      <c r="E58" s="3"/>
      <c r="F58" s="3"/>
      <c r="G58" s="3">
        <v>104</v>
      </c>
      <c r="H58" s="3"/>
      <c r="I58" s="3"/>
      <c r="J58" s="6" cm="1">
        <f t="array" ref="J58">_xlfn.LET(
  _xlpm.rng, C58:I58,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1040000</v>
      </c>
      <c r="L58" t="str">
        <f t="shared" si="0"/>
        <v>6-7 脾</v>
      </c>
    </row>
    <row r="59" spans="1:12" x14ac:dyDescent="0.4">
      <c r="A59">
        <v>6</v>
      </c>
      <c r="B59">
        <v>8</v>
      </c>
      <c r="C59" s="3"/>
      <c r="D59" s="3"/>
      <c r="E59" s="3">
        <v>3</v>
      </c>
      <c r="F59" s="3"/>
      <c r="G59" s="3"/>
      <c r="H59" s="3"/>
      <c r="I59" s="3"/>
      <c r="J59" s="6" cm="1">
        <f t="array" ref="J59">_xlfn.LET(
  _xlpm.rng, C59:I59,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300</v>
      </c>
      <c r="L59" t="str">
        <f t="shared" si="0"/>
        <v>6-8 脾</v>
      </c>
    </row>
    <row r="60" spans="1:12" x14ac:dyDescent="0.4">
      <c r="A60">
        <v>6</v>
      </c>
      <c r="B60">
        <v>9</v>
      </c>
      <c r="C60" s="3">
        <v>28</v>
      </c>
      <c r="D60" s="3"/>
      <c r="E60" s="3"/>
      <c r="F60" s="3"/>
      <c r="G60" s="3"/>
      <c r="H60" s="3"/>
      <c r="I60" s="3"/>
      <c r="J60" s="6" cm="1">
        <f t="array" ref="J60">_xlfn.LET(
  _xlpm.rng, C60:I60,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28</v>
      </c>
      <c r="L60" t="str">
        <f t="shared" si="0"/>
        <v>6-9 脾</v>
      </c>
    </row>
    <row r="61" spans="1:12" x14ac:dyDescent="0.4">
      <c r="A61">
        <v>6</v>
      </c>
      <c r="B61">
        <v>10</v>
      </c>
      <c r="C61" s="3">
        <v>2</v>
      </c>
      <c r="D61" s="3"/>
      <c r="E61" s="3"/>
      <c r="F61" s="3"/>
      <c r="G61" s="3"/>
      <c r="H61" s="3"/>
      <c r="I61" s="3"/>
      <c r="J61" s="6" cm="1">
        <f t="array" ref="J61">_xlfn.LET(
  _xlpm.rng, C61:I61,
  _xlpm.headers, C$1:I$1, _xlpm.nums, _xlfn._xlws.FILTER(_xlpm.rng, (ISNUMBER(_xlpm.rng))*(_xlpm.rng&gt;=0)),
  _xlpm.cand, _xlfn._xlws.FILTER(_xlpm.nums, (_xlpm.nums&gt;=10)*(_xlpm.nums&lt;=200)), _xlpm.val, IFERROR(INDEX(_xlpm.cand,1),INDEX(_xlpm.nums,1)),_xlpm.col, _xlfn.XMATCH(_xlpm.val, _xlpm.rng),_xlpm.val * INDEX(_xlpm.headers, _xlpm.col)
)</f>
        <v>2</v>
      </c>
      <c r="L61" t="str">
        <f t="shared" si="0"/>
        <v>6-10 脾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0DE4-23E8-44A0-92B3-32B5466520B9}">
  <dimension ref="A1:E61"/>
  <sheetViews>
    <sheetView workbookViewId="0">
      <selection activeCell="G25" sqref="G25"/>
    </sheetView>
  </sheetViews>
  <sheetFormatPr defaultRowHeight="18.75" x14ac:dyDescent="0.4"/>
  <cols>
    <col min="4" max="4" width="8.625" style="5"/>
    <col min="5" max="5" width="7.5" bestFit="1" customWidth="1"/>
  </cols>
  <sheetData>
    <row r="1" spans="1:5" x14ac:dyDescent="0.4">
      <c r="A1" t="s">
        <v>0</v>
      </c>
      <c r="B1" t="s">
        <v>1</v>
      </c>
      <c r="C1" t="s">
        <v>2</v>
      </c>
      <c r="D1" s="5" t="s">
        <v>3</v>
      </c>
      <c r="E1" t="s">
        <v>4</v>
      </c>
    </row>
    <row r="2" spans="1:5" x14ac:dyDescent="0.4">
      <c r="A2">
        <v>1</v>
      </c>
      <c r="B2">
        <v>1</v>
      </c>
      <c r="C2">
        <v>0.5</v>
      </c>
      <c r="D2" s="5">
        <v>13</v>
      </c>
      <c r="E2" s="5">
        <f>D2/C2</f>
        <v>26</v>
      </c>
    </row>
    <row r="3" spans="1:5" x14ac:dyDescent="0.4">
      <c r="A3">
        <v>1</v>
      </c>
      <c r="B3">
        <v>2</v>
      </c>
      <c r="C3">
        <v>0.5</v>
      </c>
      <c r="D3" s="5">
        <v>0</v>
      </c>
      <c r="E3" s="5">
        <f t="shared" ref="E3:E61" si="0">D3/C3</f>
        <v>0</v>
      </c>
    </row>
    <row r="4" spans="1:5" x14ac:dyDescent="0.4">
      <c r="A4">
        <v>1</v>
      </c>
      <c r="B4">
        <v>3</v>
      </c>
      <c r="C4">
        <v>0.5</v>
      </c>
      <c r="D4" s="5">
        <v>0</v>
      </c>
      <c r="E4" s="5">
        <f t="shared" si="0"/>
        <v>0</v>
      </c>
    </row>
    <row r="5" spans="1:5" x14ac:dyDescent="0.4">
      <c r="A5">
        <v>1</v>
      </c>
      <c r="B5">
        <v>4</v>
      </c>
      <c r="C5">
        <v>0.5</v>
      </c>
      <c r="D5" s="5">
        <v>0</v>
      </c>
      <c r="E5" s="5">
        <f t="shared" si="0"/>
        <v>0</v>
      </c>
    </row>
    <row r="6" spans="1:5" x14ac:dyDescent="0.4">
      <c r="A6">
        <v>1</v>
      </c>
      <c r="B6">
        <v>5</v>
      </c>
      <c r="C6">
        <v>0.5</v>
      </c>
      <c r="D6" s="5">
        <v>2</v>
      </c>
      <c r="E6" s="5">
        <f t="shared" si="0"/>
        <v>4</v>
      </c>
    </row>
    <row r="7" spans="1:5" x14ac:dyDescent="0.4">
      <c r="A7">
        <v>1</v>
      </c>
      <c r="B7">
        <v>6</v>
      </c>
      <c r="C7">
        <v>0.5</v>
      </c>
      <c r="D7" s="5">
        <v>0</v>
      </c>
      <c r="E7" s="5">
        <f t="shared" si="0"/>
        <v>0</v>
      </c>
    </row>
    <row r="8" spans="1:5" x14ac:dyDescent="0.4">
      <c r="A8">
        <v>1</v>
      </c>
      <c r="B8">
        <v>7</v>
      </c>
      <c r="C8">
        <v>0.35</v>
      </c>
      <c r="D8" s="5">
        <v>2600000</v>
      </c>
      <c r="E8" s="5">
        <f t="shared" si="0"/>
        <v>7428571.4285714291</v>
      </c>
    </row>
    <row r="9" spans="1:5" x14ac:dyDescent="0.4">
      <c r="A9">
        <v>1</v>
      </c>
      <c r="B9">
        <v>8</v>
      </c>
      <c r="C9">
        <v>0.5</v>
      </c>
      <c r="D9" s="5">
        <v>0</v>
      </c>
      <c r="E9" s="5">
        <f t="shared" si="0"/>
        <v>0</v>
      </c>
    </row>
    <row r="10" spans="1:5" x14ac:dyDescent="0.4">
      <c r="A10">
        <v>1</v>
      </c>
      <c r="B10">
        <v>9</v>
      </c>
      <c r="C10">
        <v>0.5</v>
      </c>
      <c r="D10" s="5">
        <v>0</v>
      </c>
      <c r="E10" s="5">
        <f t="shared" si="0"/>
        <v>0</v>
      </c>
    </row>
    <row r="11" spans="1:5" x14ac:dyDescent="0.4">
      <c r="A11">
        <v>1</v>
      </c>
      <c r="B11">
        <v>10</v>
      </c>
      <c r="C11">
        <v>0.5</v>
      </c>
      <c r="D11" s="5">
        <v>0</v>
      </c>
      <c r="E11" s="5">
        <f t="shared" si="0"/>
        <v>0</v>
      </c>
    </row>
    <row r="12" spans="1:5" x14ac:dyDescent="0.4">
      <c r="A12">
        <v>2</v>
      </c>
      <c r="B12">
        <v>1</v>
      </c>
      <c r="C12">
        <v>0.5</v>
      </c>
      <c r="D12" s="5">
        <v>0</v>
      </c>
      <c r="E12" s="5">
        <f t="shared" si="0"/>
        <v>0</v>
      </c>
    </row>
    <row r="13" spans="1:5" x14ac:dyDescent="0.4">
      <c r="A13">
        <v>2</v>
      </c>
      <c r="B13">
        <v>2</v>
      </c>
      <c r="C13">
        <v>0.5</v>
      </c>
      <c r="D13" s="5">
        <v>0</v>
      </c>
      <c r="E13" s="5">
        <f t="shared" si="0"/>
        <v>0</v>
      </c>
    </row>
    <row r="14" spans="1:5" x14ac:dyDescent="0.4">
      <c r="A14">
        <v>2</v>
      </c>
      <c r="B14">
        <v>3</v>
      </c>
      <c r="C14">
        <v>0.5</v>
      </c>
      <c r="D14" s="5">
        <v>900</v>
      </c>
      <c r="E14" s="5">
        <f t="shared" si="0"/>
        <v>1800</v>
      </c>
    </row>
    <row r="15" spans="1:5" x14ac:dyDescent="0.4">
      <c r="A15">
        <v>2</v>
      </c>
      <c r="B15">
        <v>4</v>
      </c>
      <c r="C15">
        <v>0.36</v>
      </c>
      <c r="D15" s="5">
        <v>6</v>
      </c>
      <c r="E15" s="5">
        <f t="shared" si="0"/>
        <v>16.666666666666668</v>
      </c>
    </row>
    <row r="16" spans="1:5" x14ac:dyDescent="0.4">
      <c r="A16">
        <v>2</v>
      </c>
      <c r="B16">
        <v>5</v>
      </c>
      <c r="C16">
        <v>0.5</v>
      </c>
      <c r="D16" s="5">
        <v>1</v>
      </c>
      <c r="E16" s="5">
        <f t="shared" si="0"/>
        <v>2</v>
      </c>
    </row>
    <row r="17" spans="1:5" x14ac:dyDescent="0.4">
      <c r="A17">
        <v>2</v>
      </c>
      <c r="B17">
        <v>6</v>
      </c>
      <c r="C17">
        <v>0.5</v>
      </c>
      <c r="D17" s="5">
        <v>5</v>
      </c>
      <c r="E17" s="5">
        <f t="shared" si="0"/>
        <v>10</v>
      </c>
    </row>
    <row r="18" spans="1:5" x14ac:dyDescent="0.4">
      <c r="A18">
        <v>2</v>
      </c>
      <c r="B18">
        <v>7</v>
      </c>
      <c r="C18">
        <v>0.5</v>
      </c>
      <c r="D18" s="5">
        <v>0</v>
      </c>
      <c r="E18" s="5">
        <f t="shared" si="0"/>
        <v>0</v>
      </c>
    </row>
    <row r="19" spans="1:5" x14ac:dyDescent="0.4">
      <c r="A19">
        <v>2</v>
      </c>
      <c r="B19">
        <v>8</v>
      </c>
      <c r="C19">
        <v>0.5</v>
      </c>
      <c r="D19" s="5">
        <v>0</v>
      </c>
      <c r="E19" s="5">
        <f t="shared" si="0"/>
        <v>0</v>
      </c>
    </row>
    <row r="20" spans="1:5" x14ac:dyDescent="0.4">
      <c r="A20">
        <v>2</v>
      </c>
      <c r="B20">
        <v>9</v>
      </c>
      <c r="C20">
        <v>0.5</v>
      </c>
      <c r="D20" s="5">
        <v>0</v>
      </c>
      <c r="E20" s="5">
        <f t="shared" si="0"/>
        <v>0</v>
      </c>
    </row>
    <row r="21" spans="1:5" x14ac:dyDescent="0.4">
      <c r="A21">
        <v>2</v>
      </c>
      <c r="B21">
        <v>10</v>
      </c>
      <c r="C21">
        <v>0.5</v>
      </c>
      <c r="D21" s="5">
        <v>2</v>
      </c>
      <c r="E21" s="5">
        <f t="shared" si="0"/>
        <v>4</v>
      </c>
    </row>
    <row r="22" spans="1:5" x14ac:dyDescent="0.4">
      <c r="A22">
        <v>3</v>
      </c>
      <c r="B22">
        <v>1</v>
      </c>
      <c r="C22">
        <v>0.5</v>
      </c>
      <c r="D22" s="5">
        <v>13</v>
      </c>
      <c r="E22" s="5">
        <f t="shared" si="0"/>
        <v>26</v>
      </c>
    </row>
    <row r="23" spans="1:5" x14ac:dyDescent="0.4">
      <c r="A23">
        <v>3</v>
      </c>
      <c r="B23">
        <v>2</v>
      </c>
      <c r="C23">
        <v>0.5</v>
      </c>
      <c r="D23" s="5">
        <v>5</v>
      </c>
      <c r="E23" s="5">
        <f t="shared" si="0"/>
        <v>10</v>
      </c>
    </row>
    <row r="24" spans="1:5" x14ac:dyDescent="0.4">
      <c r="A24">
        <v>3</v>
      </c>
      <c r="B24">
        <v>3</v>
      </c>
      <c r="C24">
        <v>0.5</v>
      </c>
      <c r="D24" s="5">
        <v>1</v>
      </c>
      <c r="E24" s="5">
        <f t="shared" si="0"/>
        <v>2</v>
      </c>
    </row>
    <row r="25" spans="1:5" x14ac:dyDescent="0.4">
      <c r="A25">
        <v>3</v>
      </c>
      <c r="B25">
        <v>4</v>
      </c>
      <c r="C25">
        <v>0.48</v>
      </c>
      <c r="D25" s="5">
        <v>9600000</v>
      </c>
      <c r="E25" s="5">
        <f t="shared" si="0"/>
        <v>20000000</v>
      </c>
    </row>
    <row r="26" spans="1:5" x14ac:dyDescent="0.4">
      <c r="A26">
        <v>3</v>
      </c>
      <c r="B26">
        <v>5</v>
      </c>
      <c r="C26">
        <v>0.5</v>
      </c>
      <c r="D26" s="5">
        <v>1</v>
      </c>
      <c r="E26" s="5">
        <f t="shared" si="0"/>
        <v>2</v>
      </c>
    </row>
    <row r="27" spans="1:5" x14ac:dyDescent="0.4">
      <c r="A27">
        <v>3</v>
      </c>
      <c r="B27">
        <v>6</v>
      </c>
      <c r="C27">
        <v>0.5</v>
      </c>
      <c r="D27" s="5">
        <v>0</v>
      </c>
      <c r="E27" s="5">
        <f t="shared" si="0"/>
        <v>0</v>
      </c>
    </row>
    <row r="28" spans="1:5" x14ac:dyDescent="0.4">
      <c r="A28">
        <v>3</v>
      </c>
      <c r="B28">
        <v>7</v>
      </c>
      <c r="C28">
        <v>0.5</v>
      </c>
      <c r="D28" s="5">
        <v>21</v>
      </c>
      <c r="E28" s="5">
        <f t="shared" si="0"/>
        <v>42</v>
      </c>
    </row>
    <row r="29" spans="1:5" x14ac:dyDescent="0.4">
      <c r="A29">
        <v>3</v>
      </c>
      <c r="B29">
        <v>8</v>
      </c>
      <c r="C29">
        <v>0.5</v>
      </c>
      <c r="D29" s="5">
        <v>0</v>
      </c>
      <c r="E29" s="5">
        <f t="shared" si="0"/>
        <v>0</v>
      </c>
    </row>
    <row r="30" spans="1:5" x14ac:dyDescent="0.4">
      <c r="A30">
        <v>3</v>
      </c>
      <c r="B30">
        <v>9</v>
      </c>
      <c r="C30">
        <v>0.5</v>
      </c>
      <c r="D30" s="5">
        <v>8</v>
      </c>
      <c r="E30" s="5">
        <f t="shared" si="0"/>
        <v>16</v>
      </c>
    </row>
    <row r="31" spans="1:5" x14ac:dyDescent="0.4">
      <c r="A31">
        <v>3</v>
      </c>
      <c r="B31">
        <v>10</v>
      </c>
      <c r="C31">
        <v>0.5</v>
      </c>
      <c r="D31" s="5">
        <v>0</v>
      </c>
      <c r="E31" s="5">
        <f t="shared" si="0"/>
        <v>0</v>
      </c>
    </row>
    <row r="32" spans="1:5" x14ac:dyDescent="0.4">
      <c r="A32">
        <v>4</v>
      </c>
      <c r="B32">
        <v>1</v>
      </c>
      <c r="C32">
        <v>0.5</v>
      </c>
      <c r="D32" s="5">
        <v>1</v>
      </c>
      <c r="E32" s="5">
        <f t="shared" si="0"/>
        <v>2</v>
      </c>
    </row>
    <row r="33" spans="1:5" x14ac:dyDescent="0.4">
      <c r="A33">
        <v>4</v>
      </c>
      <c r="B33">
        <v>2</v>
      </c>
      <c r="C33">
        <v>0.5</v>
      </c>
      <c r="D33" s="5">
        <v>0</v>
      </c>
      <c r="E33" s="5">
        <f t="shared" si="0"/>
        <v>0</v>
      </c>
    </row>
    <row r="34" spans="1:5" x14ac:dyDescent="0.4">
      <c r="A34">
        <v>4</v>
      </c>
      <c r="B34">
        <v>3</v>
      </c>
      <c r="C34">
        <v>0.5</v>
      </c>
      <c r="D34" s="5">
        <v>0</v>
      </c>
      <c r="E34" s="5">
        <f t="shared" si="0"/>
        <v>0</v>
      </c>
    </row>
    <row r="35" spans="1:5" x14ac:dyDescent="0.4">
      <c r="A35">
        <v>4</v>
      </c>
      <c r="B35">
        <v>4</v>
      </c>
      <c r="C35">
        <v>0.5</v>
      </c>
      <c r="D35" s="5">
        <v>90</v>
      </c>
      <c r="E35" s="5">
        <f t="shared" si="0"/>
        <v>180</v>
      </c>
    </row>
    <row r="36" spans="1:5" x14ac:dyDescent="0.4">
      <c r="A36">
        <v>4</v>
      </c>
      <c r="B36">
        <v>5</v>
      </c>
      <c r="C36">
        <v>0.5</v>
      </c>
      <c r="D36" s="5">
        <v>6</v>
      </c>
      <c r="E36" s="5">
        <f t="shared" si="0"/>
        <v>12</v>
      </c>
    </row>
    <row r="37" spans="1:5" x14ac:dyDescent="0.4">
      <c r="A37">
        <v>4</v>
      </c>
      <c r="B37">
        <v>6</v>
      </c>
      <c r="C37">
        <v>0.5</v>
      </c>
      <c r="D37" s="5">
        <v>0</v>
      </c>
      <c r="E37" s="5">
        <f t="shared" si="0"/>
        <v>0</v>
      </c>
    </row>
    <row r="38" spans="1:5" x14ac:dyDescent="0.4">
      <c r="A38">
        <v>4</v>
      </c>
      <c r="B38">
        <v>7</v>
      </c>
      <c r="C38">
        <v>0.5</v>
      </c>
      <c r="D38" s="5">
        <v>37</v>
      </c>
      <c r="E38" s="5">
        <f t="shared" si="0"/>
        <v>74</v>
      </c>
    </row>
    <row r="39" spans="1:5" x14ac:dyDescent="0.4">
      <c r="A39">
        <v>4</v>
      </c>
      <c r="B39">
        <v>8</v>
      </c>
      <c r="C39">
        <v>0.5</v>
      </c>
      <c r="D39" s="5">
        <v>5</v>
      </c>
      <c r="E39" s="5">
        <f t="shared" si="0"/>
        <v>10</v>
      </c>
    </row>
    <row r="40" spans="1:5" x14ac:dyDescent="0.4">
      <c r="A40">
        <v>4</v>
      </c>
      <c r="B40">
        <v>9</v>
      </c>
      <c r="C40">
        <v>0.5</v>
      </c>
      <c r="D40" s="5">
        <v>45</v>
      </c>
      <c r="E40" s="5">
        <f t="shared" si="0"/>
        <v>90</v>
      </c>
    </row>
    <row r="41" spans="1:5" x14ac:dyDescent="0.4">
      <c r="A41">
        <v>4</v>
      </c>
      <c r="B41">
        <v>10</v>
      </c>
      <c r="C41">
        <v>0.5</v>
      </c>
      <c r="D41" s="5">
        <v>0</v>
      </c>
      <c r="E41" s="5">
        <f t="shared" si="0"/>
        <v>0</v>
      </c>
    </row>
    <row r="42" spans="1:5" x14ac:dyDescent="0.4">
      <c r="A42">
        <v>5</v>
      </c>
      <c r="B42">
        <v>1</v>
      </c>
      <c r="C42">
        <v>0.5</v>
      </c>
      <c r="D42" s="5">
        <v>0</v>
      </c>
      <c r="E42" s="5">
        <f t="shared" si="0"/>
        <v>0</v>
      </c>
    </row>
    <row r="43" spans="1:5" x14ac:dyDescent="0.4">
      <c r="A43">
        <v>5</v>
      </c>
      <c r="B43">
        <v>2</v>
      </c>
      <c r="C43">
        <v>0.5</v>
      </c>
      <c r="D43" s="5">
        <v>25</v>
      </c>
      <c r="E43" s="5">
        <f t="shared" si="0"/>
        <v>50</v>
      </c>
    </row>
    <row r="44" spans="1:5" x14ac:dyDescent="0.4">
      <c r="A44">
        <v>5</v>
      </c>
      <c r="B44">
        <v>3</v>
      </c>
      <c r="C44">
        <v>0.5</v>
      </c>
      <c r="D44" s="5">
        <v>88</v>
      </c>
      <c r="E44" s="5">
        <f t="shared" si="0"/>
        <v>176</v>
      </c>
    </row>
    <row r="45" spans="1:5" x14ac:dyDescent="0.4">
      <c r="A45">
        <v>5</v>
      </c>
      <c r="B45">
        <v>4</v>
      </c>
      <c r="C45">
        <v>0.5</v>
      </c>
      <c r="D45" s="5">
        <v>0</v>
      </c>
      <c r="E45" s="5">
        <f t="shared" si="0"/>
        <v>0</v>
      </c>
    </row>
    <row r="46" spans="1:5" x14ac:dyDescent="0.4">
      <c r="A46">
        <v>5</v>
      </c>
      <c r="B46">
        <v>5</v>
      </c>
      <c r="C46">
        <v>0.5</v>
      </c>
      <c r="D46" s="5">
        <v>2</v>
      </c>
      <c r="E46" s="5">
        <f t="shared" si="0"/>
        <v>4</v>
      </c>
    </row>
    <row r="47" spans="1:5" x14ac:dyDescent="0.4">
      <c r="A47">
        <v>5</v>
      </c>
      <c r="B47">
        <v>6</v>
      </c>
      <c r="C47">
        <v>0.5</v>
      </c>
      <c r="D47" s="5">
        <v>0</v>
      </c>
      <c r="E47" s="5">
        <f t="shared" si="0"/>
        <v>0</v>
      </c>
    </row>
    <row r="48" spans="1:5" x14ac:dyDescent="0.4">
      <c r="A48">
        <v>5</v>
      </c>
      <c r="B48">
        <v>7</v>
      </c>
      <c r="C48">
        <v>0.5</v>
      </c>
      <c r="D48" s="5">
        <v>8</v>
      </c>
      <c r="E48" s="5">
        <f t="shared" si="0"/>
        <v>16</v>
      </c>
    </row>
    <row r="49" spans="1:5" x14ac:dyDescent="0.4">
      <c r="A49">
        <v>5</v>
      </c>
      <c r="B49">
        <v>8</v>
      </c>
      <c r="C49">
        <v>0.5</v>
      </c>
      <c r="D49" s="5">
        <v>0</v>
      </c>
      <c r="E49" s="5">
        <f t="shared" si="0"/>
        <v>0</v>
      </c>
    </row>
    <row r="50" spans="1:5" x14ac:dyDescent="0.4">
      <c r="A50">
        <v>5</v>
      </c>
      <c r="B50">
        <v>9</v>
      </c>
      <c r="C50">
        <v>0.5</v>
      </c>
      <c r="D50" s="5">
        <v>0</v>
      </c>
      <c r="E50" s="5">
        <f t="shared" si="0"/>
        <v>0</v>
      </c>
    </row>
    <row r="51" spans="1:5" x14ac:dyDescent="0.4">
      <c r="A51">
        <v>5</v>
      </c>
      <c r="B51">
        <v>10</v>
      </c>
      <c r="C51">
        <v>0.5</v>
      </c>
      <c r="D51" s="5">
        <v>0</v>
      </c>
      <c r="E51" s="5">
        <f t="shared" si="0"/>
        <v>0</v>
      </c>
    </row>
    <row r="52" spans="1:5" x14ac:dyDescent="0.4">
      <c r="A52">
        <v>6</v>
      </c>
      <c r="B52">
        <v>1</v>
      </c>
      <c r="C52">
        <v>0.5</v>
      </c>
      <c r="D52" s="5">
        <v>209</v>
      </c>
      <c r="E52" s="5">
        <f t="shared" si="0"/>
        <v>418</v>
      </c>
    </row>
    <row r="53" spans="1:5" x14ac:dyDescent="0.4">
      <c r="A53">
        <v>6</v>
      </c>
      <c r="B53">
        <v>2</v>
      </c>
      <c r="C53">
        <v>0.5</v>
      </c>
      <c r="D53" s="5">
        <v>0</v>
      </c>
      <c r="E53" s="5">
        <f t="shared" si="0"/>
        <v>0</v>
      </c>
    </row>
    <row r="54" spans="1:5" x14ac:dyDescent="0.4">
      <c r="A54">
        <v>6</v>
      </c>
      <c r="B54">
        <v>3</v>
      </c>
      <c r="C54">
        <v>0.5</v>
      </c>
      <c r="D54" s="5">
        <v>41</v>
      </c>
      <c r="E54" s="5">
        <f t="shared" si="0"/>
        <v>82</v>
      </c>
    </row>
    <row r="55" spans="1:5" x14ac:dyDescent="0.4">
      <c r="A55">
        <v>6</v>
      </c>
      <c r="B55">
        <v>4</v>
      </c>
      <c r="C55">
        <v>0.5</v>
      </c>
      <c r="D55" s="5">
        <v>0</v>
      </c>
      <c r="E55" s="5">
        <f t="shared" si="0"/>
        <v>0</v>
      </c>
    </row>
    <row r="56" spans="1:5" x14ac:dyDescent="0.4">
      <c r="A56">
        <v>6</v>
      </c>
      <c r="B56">
        <v>5</v>
      </c>
      <c r="C56">
        <v>0.5</v>
      </c>
      <c r="D56" s="5">
        <v>36</v>
      </c>
      <c r="E56" s="5">
        <f t="shared" si="0"/>
        <v>72</v>
      </c>
    </row>
    <row r="57" spans="1:5" x14ac:dyDescent="0.4">
      <c r="A57">
        <v>6</v>
      </c>
      <c r="B57">
        <v>6</v>
      </c>
      <c r="C57">
        <v>0.5</v>
      </c>
      <c r="D57" s="5">
        <v>0</v>
      </c>
      <c r="E57" s="5">
        <f t="shared" si="0"/>
        <v>0</v>
      </c>
    </row>
    <row r="58" spans="1:5" x14ac:dyDescent="0.4">
      <c r="A58">
        <v>6</v>
      </c>
      <c r="B58">
        <v>7</v>
      </c>
      <c r="C58">
        <v>0.2</v>
      </c>
      <c r="D58" s="5">
        <v>3700000</v>
      </c>
      <c r="E58" s="5">
        <f t="shared" si="0"/>
        <v>18500000</v>
      </c>
    </row>
    <row r="59" spans="1:5" x14ac:dyDescent="0.4">
      <c r="A59">
        <v>6</v>
      </c>
      <c r="B59">
        <v>8</v>
      </c>
      <c r="C59">
        <v>0.5</v>
      </c>
      <c r="D59" s="5">
        <v>15</v>
      </c>
      <c r="E59" s="5">
        <f t="shared" si="0"/>
        <v>30</v>
      </c>
    </row>
    <row r="60" spans="1:5" x14ac:dyDescent="0.4">
      <c r="A60">
        <v>6</v>
      </c>
      <c r="B60">
        <v>9</v>
      </c>
      <c r="C60">
        <v>0.5</v>
      </c>
      <c r="D60" s="5">
        <v>7</v>
      </c>
      <c r="E60" s="5">
        <f t="shared" si="0"/>
        <v>14</v>
      </c>
    </row>
    <row r="61" spans="1:5" x14ac:dyDescent="0.4">
      <c r="A61">
        <v>6</v>
      </c>
      <c r="B61">
        <v>10</v>
      </c>
      <c r="C61">
        <v>0.5</v>
      </c>
      <c r="D61" s="5">
        <v>1</v>
      </c>
      <c r="E61" s="5">
        <f t="shared" si="0"/>
        <v>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91CA-566F-42FB-8DD3-33D54D962CBD}">
  <dimension ref="A1:F61"/>
  <sheetViews>
    <sheetView topLeftCell="A35" workbookViewId="0">
      <selection activeCell="H62" sqref="H61:H62"/>
    </sheetView>
  </sheetViews>
  <sheetFormatPr defaultRowHeight="18.7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 x14ac:dyDescent="0.4">
      <c r="A2">
        <v>1</v>
      </c>
      <c r="B2">
        <v>1</v>
      </c>
      <c r="C2">
        <v>0.5</v>
      </c>
      <c r="D2">
        <v>101</v>
      </c>
      <c r="E2" s="5">
        <f>D2/C2</f>
        <v>202</v>
      </c>
    </row>
    <row r="3" spans="1:6" x14ac:dyDescent="0.4">
      <c r="A3">
        <v>1</v>
      </c>
      <c r="B3">
        <v>2</v>
      </c>
      <c r="C3">
        <v>0.5</v>
      </c>
      <c r="D3">
        <v>1800</v>
      </c>
      <c r="E3" s="5">
        <f t="shared" ref="E3:E61" si="0">D3/C3</f>
        <v>3600</v>
      </c>
    </row>
    <row r="4" spans="1:6" x14ac:dyDescent="0.4">
      <c r="A4">
        <v>1</v>
      </c>
      <c r="B4">
        <v>3</v>
      </c>
      <c r="C4">
        <v>0.5</v>
      </c>
      <c r="D4">
        <v>0</v>
      </c>
      <c r="E4" s="5">
        <f t="shared" si="0"/>
        <v>0</v>
      </c>
    </row>
    <row r="5" spans="1:6" x14ac:dyDescent="0.4">
      <c r="A5">
        <v>1</v>
      </c>
      <c r="B5">
        <v>4</v>
      </c>
      <c r="C5">
        <v>0.5</v>
      </c>
      <c r="D5">
        <v>0</v>
      </c>
      <c r="E5" s="5">
        <f t="shared" si="0"/>
        <v>0</v>
      </c>
    </row>
    <row r="6" spans="1:6" x14ac:dyDescent="0.4">
      <c r="A6">
        <v>1</v>
      </c>
      <c r="B6">
        <v>5</v>
      </c>
      <c r="C6">
        <v>0.5</v>
      </c>
      <c r="D6">
        <v>0</v>
      </c>
      <c r="E6" s="5">
        <f t="shared" si="0"/>
        <v>0</v>
      </c>
    </row>
    <row r="7" spans="1:6" x14ac:dyDescent="0.4">
      <c r="A7">
        <v>1</v>
      </c>
      <c r="B7">
        <v>6</v>
      </c>
      <c r="C7">
        <v>0.5</v>
      </c>
      <c r="D7">
        <v>2</v>
      </c>
      <c r="E7" s="5">
        <f t="shared" si="0"/>
        <v>4</v>
      </c>
    </row>
    <row r="8" spans="1:6" x14ac:dyDescent="0.4">
      <c r="A8">
        <v>1</v>
      </c>
      <c r="B8">
        <v>7</v>
      </c>
      <c r="C8">
        <v>0.3</v>
      </c>
      <c r="D8">
        <v>820000</v>
      </c>
      <c r="E8" s="5">
        <f t="shared" si="0"/>
        <v>2733333.3333333335</v>
      </c>
    </row>
    <row r="9" spans="1:6" x14ac:dyDescent="0.4">
      <c r="A9">
        <v>1</v>
      </c>
      <c r="B9">
        <v>8</v>
      </c>
      <c r="C9">
        <v>0.5</v>
      </c>
      <c r="D9">
        <v>0</v>
      </c>
      <c r="E9" s="5">
        <f t="shared" si="0"/>
        <v>0</v>
      </c>
    </row>
    <row r="10" spans="1:6" x14ac:dyDescent="0.4">
      <c r="A10">
        <v>1</v>
      </c>
      <c r="B10">
        <v>9</v>
      </c>
      <c r="C10">
        <v>0.5</v>
      </c>
      <c r="D10">
        <v>0</v>
      </c>
      <c r="E10" s="5">
        <f t="shared" si="0"/>
        <v>0</v>
      </c>
    </row>
    <row r="11" spans="1:6" x14ac:dyDescent="0.4">
      <c r="A11">
        <v>1</v>
      </c>
      <c r="B11">
        <v>10</v>
      </c>
      <c r="C11">
        <v>0.5</v>
      </c>
      <c r="D11">
        <v>0</v>
      </c>
      <c r="E11" s="5">
        <f t="shared" si="0"/>
        <v>0</v>
      </c>
    </row>
    <row r="12" spans="1:6" x14ac:dyDescent="0.4">
      <c r="A12">
        <v>2</v>
      </c>
      <c r="B12">
        <v>1</v>
      </c>
      <c r="C12">
        <v>0.5</v>
      </c>
      <c r="D12">
        <v>0</v>
      </c>
      <c r="E12" s="5">
        <f t="shared" si="0"/>
        <v>0</v>
      </c>
    </row>
    <row r="13" spans="1:6" x14ac:dyDescent="0.4">
      <c r="A13">
        <v>2</v>
      </c>
      <c r="B13">
        <v>2</v>
      </c>
      <c r="C13">
        <v>0.5</v>
      </c>
      <c r="D13">
        <v>0</v>
      </c>
      <c r="E13" s="5">
        <f t="shared" si="0"/>
        <v>0</v>
      </c>
    </row>
    <row r="14" spans="1:6" x14ac:dyDescent="0.4">
      <c r="A14">
        <v>2</v>
      </c>
      <c r="B14">
        <v>3</v>
      </c>
      <c r="C14">
        <v>0.5</v>
      </c>
      <c r="D14">
        <v>1</v>
      </c>
      <c r="E14" s="5">
        <f t="shared" si="0"/>
        <v>2</v>
      </c>
    </row>
    <row r="15" spans="1:6" x14ac:dyDescent="0.4">
      <c r="A15">
        <v>2</v>
      </c>
      <c r="B15">
        <v>4</v>
      </c>
      <c r="C15">
        <v>0.36</v>
      </c>
      <c r="D15">
        <v>7</v>
      </c>
      <c r="E15" s="5">
        <f t="shared" si="0"/>
        <v>19.444444444444446</v>
      </c>
    </row>
    <row r="16" spans="1:6" x14ac:dyDescent="0.4">
      <c r="A16">
        <v>2</v>
      </c>
      <c r="B16">
        <v>5</v>
      </c>
      <c r="C16">
        <v>0.48</v>
      </c>
      <c r="D16">
        <v>4</v>
      </c>
      <c r="E16" s="5">
        <f t="shared" si="0"/>
        <v>8.3333333333333339</v>
      </c>
    </row>
    <row r="17" spans="1:5" x14ac:dyDescent="0.4">
      <c r="A17">
        <v>2</v>
      </c>
      <c r="B17">
        <v>6</v>
      </c>
      <c r="C17">
        <v>0.5</v>
      </c>
      <c r="D17">
        <v>2500</v>
      </c>
      <c r="E17" s="5">
        <f t="shared" si="0"/>
        <v>5000</v>
      </c>
    </row>
    <row r="18" spans="1:5" x14ac:dyDescent="0.4">
      <c r="A18">
        <v>2</v>
      </c>
      <c r="B18">
        <v>7</v>
      </c>
      <c r="C18">
        <v>0.43</v>
      </c>
      <c r="D18">
        <v>100</v>
      </c>
      <c r="E18" s="5">
        <f t="shared" si="0"/>
        <v>232.55813953488374</v>
      </c>
    </row>
    <row r="19" spans="1:5" x14ac:dyDescent="0.4">
      <c r="A19">
        <v>2</v>
      </c>
      <c r="B19">
        <v>8</v>
      </c>
      <c r="C19">
        <v>0.5</v>
      </c>
      <c r="D19">
        <v>0</v>
      </c>
      <c r="E19" s="5">
        <f t="shared" si="0"/>
        <v>0</v>
      </c>
    </row>
    <row r="20" spans="1:5" x14ac:dyDescent="0.4">
      <c r="A20">
        <v>2</v>
      </c>
      <c r="B20">
        <v>9</v>
      </c>
      <c r="C20">
        <v>0.5</v>
      </c>
      <c r="D20">
        <v>0</v>
      </c>
      <c r="E20" s="5">
        <f t="shared" si="0"/>
        <v>0</v>
      </c>
    </row>
    <row r="21" spans="1:5" x14ac:dyDescent="0.4">
      <c r="A21">
        <v>2</v>
      </c>
      <c r="B21">
        <v>10</v>
      </c>
      <c r="C21">
        <v>0.5</v>
      </c>
      <c r="D21">
        <v>0</v>
      </c>
      <c r="E21" s="5">
        <f t="shared" si="0"/>
        <v>0</v>
      </c>
    </row>
    <row r="22" spans="1:5" x14ac:dyDescent="0.4">
      <c r="A22">
        <v>3</v>
      </c>
      <c r="B22">
        <v>1</v>
      </c>
      <c r="C22">
        <v>0.5</v>
      </c>
      <c r="D22">
        <v>18</v>
      </c>
      <c r="E22" s="5">
        <f t="shared" si="0"/>
        <v>36</v>
      </c>
    </row>
    <row r="23" spans="1:5" x14ac:dyDescent="0.4">
      <c r="A23">
        <v>3</v>
      </c>
      <c r="B23">
        <v>2</v>
      </c>
      <c r="C23">
        <v>0.5</v>
      </c>
      <c r="D23">
        <v>0</v>
      </c>
      <c r="E23" s="5">
        <f t="shared" si="0"/>
        <v>0</v>
      </c>
    </row>
    <row r="24" spans="1:5" x14ac:dyDescent="0.4">
      <c r="A24">
        <v>3</v>
      </c>
      <c r="B24">
        <v>3</v>
      </c>
      <c r="C24">
        <v>0.5</v>
      </c>
      <c r="D24">
        <v>31</v>
      </c>
      <c r="E24" s="5">
        <f t="shared" si="0"/>
        <v>62</v>
      </c>
    </row>
    <row r="25" spans="1:5" x14ac:dyDescent="0.4">
      <c r="A25">
        <v>3</v>
      </c>
      <c r="B25">
        <v>4</v>
      </c>
      <c r="C25">
        <v>0.45</v>
      </c>
      <c r="D25">
        <v>5100000</v>
      </c>
      <c r="E25" s="5">
        <f t="shared" si="0"/>
        <v>11333333.333333334</v>
      </c>
    </row>
    <row r="26" spans="1:5" x14ac:dyDescent="0.4">
      <c r="A26">
        <v>3</v>
      </c>
      <c r="B26">
        <v>5</v>
      </c>
      <c r="C26">
        <v>0.5</v>
      </c>
      <c r="D26">
        <v>0</v>
      </c>
      <c r="E26" s="5">
        <f t="shared" si="0"/>
        <v>0</v>
      </c>
    </row>
    <row r="27" spans="1:5" x14ac:dyDescent="0.4">
      <c r="A27">
        <v>3</v>
      </c>
      <c r="B27">
        <v>6</v>
      </c>
      <c r="C27">
        <v>0.5</v>
      </c>
      <c r="D27">
        <v>0</v>
      </c>
      <c r="E27" s="5">
        <f t="shared" si="0"/>
        <v>0</v>
      </c>
    </row>
    <row r="28" spans="1:5" x14ac:dyDescent="0.4">
      <c r="A28">
        <v>3</v>
      </c>
      <c r="B28">
        <v>7</v>
      </c>
      <c r="C28">
        <v>0.5</v>
      </c>
      <c r="D28">
        <v>0</v>
      </c>
      <c r="E28" s="5">
        <f t="shared" si="0"/>
        <v>0</v>
      </c>
    </row>
    <row r="29" spans="1:5" x14ac:dyDescent="0.4">
      <c r="A29">
        <v>3</v>
      </c>
      <c r="B29">
        <v>8</v>
      </c>
      <c r="C29">
        <v>0.5</v>
      </c>
      <c r="D29">
        <v>38</v>
      </c>
      <c r="E29" s="5">
        <f t="shared" si="0"/>
        <v>76</v>
      </c>
    </row>
    <row r="30" spans="1:5" x14ac:dyDescent="0.4">
      <c r="A30">
        <v>3</v>
      </c>
      <c r="B30">
        <v>9</v>
      </c>
      <c r="C30">
        <v>0.5</v>
      </c>
      <c r="D30">
        <v>0</v>
      </c>
      <c r="E30" s="5">
        <f t="shared" si="0"/>
        <v>0</v>
      </c>
    </row>
    <row r="31" spans="1:5" x14ac:dyDescent="0.4">
      <c r="A31">
        <v>3</v>
      </c>
      <c r="B31">
        <v>10</v>
      </c>
      <c r="C31">
        <v>0.5</v>
      </c>
      <c r="D31">
        <v>29</v>
      </c>
      <c r="E31" s="5">
        <f t="shared" si="0"/>
        <v>58</v>
      </c>
    </row>
    <row r="32" spans="1:5" x14ac:dyDescent="0.4">
      <c r="A32">
        <v>4</v>
      </c>
      <c r="B32">
        <v>1</v>
      </c>
      <c r="C32">
        <v>0.5</v>
      </c>
      <c r="D32">
        <v>14</v>
      </c>
      <c r="E32" s="5">
        <f t="shared" si="0"/>
        <v>28</v>
      </c>
    </row>
    <row r="33" spans="1:5" x14ac:dyDescent="0.4">
      <c r="A33">
        <v>4</v>
      </c>
      <c r="B33">
        <v>2</v>
      </c>
      <c r="C33">
        <v>0.5</v>
      </c>
      <c r="D33">
        <v>21</v>
      </c>
      <c r="E33" s="5">
        <f t="shared" si="0"/>
        <v>42</v>
      </c>
    </row>
    <row r="34" spans="1:5" x14ac:dyDescent="0.4">
      <c r="A34">
        <v>4</v>
      </c>
      <c r="B34">
        <v>3</v>
      </c>
      <c r="C34">
        <v>0.5</v>
      </c>
      <c r="D34">
        <v>0</v>
      </c>
      <c r="E34" s="5">
        <f t="shared" si="0"/>
        <v>0</v>
      </c>
    </row>
    <row r="35" spans="1:5" x14ac:dyDescent="0.4">
      <c r="A35">
        <v>4</v>
      </c>
      <c r="B35">
        <v>4</v>
      </c>
      <c r="C35">
        <v>0.5</v>
      </c>
      <c r="D35">
        <v>14</v>
      </c>
      <c r="E35" s="5">
        <f t="shared" si="0"/>
        <v>28</v>
      </c>
    </row>
    <row r="36" spans="1:5" x14ac:dyDescent="0.4">
      <c r="A36">
        <v>4</v>
      </c>
      <c r="B36">
        <v>5</v>
      </c>
      <c r="C36">
        <v>0.5</v>
      </c>
      <c r="D36">
        <v>4</v>
      </c>
      <c r="E36" s="5">
        <f t="shared" si="0"/>
        <v>8</v>
      </c>
    </row>
    <row r="37" spans="1:5" x14ac:dyDescent="0.4">
      <c r="A37">
        <v>4</v>
      </c>
      <c r="B37">
        <v>6</v>
      </c>
      <c r="C37">
        <v>0.5</v>
      </c>
      <c r="D37">
        <v>19</v>
      </c>
      <c r="E37" s="5">
        <f t="shared" si="0"/>
        <v>38</v>
      </c>
    </row>
    <row r="38" spans="1:5" x14ac:dyDescent="0.4">
      <c r="A38">
        <v>4</v>
      </c>
      <c r="B38">
        <v>7</v>
      </c>
      <c r="C38">
        <v>0.5</v>
      </c>
      <c r="D38">
        <v>0</v>
      </c>
      <c r="E38" s="5">
        <f t="shared" si="0"/>
        <v>0</v>
      </c>
    </row>
    <row r="39" spans="1:5" x14ac:dyDescent="0.4">
      <c r="A39">
        <v>4</v>
      </c>
      <c r="B39">
        <v>8</v>
      </c>
      <c r="C39">
        <v>0.5</v>
      </c>
      <c r="D39">
        <v>8</v>
      </c>
      <c r="E39" s="5">
        <f t="shared" si="0"/>
        <v>16</v>
      </c>
    </row>
    <row r="40" spans="1:5" x14ac:dyDescent="0.4">
      <c r="A40">
        <v>4</v>
      </c>
      <c r="B40">
        <v>9</v>
      </c>
      <c r="C40">
        <v>0.5</v>
      </c>
      <c r="D40">
        <v>14</v>
      </c>
      <c r="E40" s="5">
        <f t="shared" si="0"/>
        <v>28</v>
      </c>
    </row>
    <row r="41" spans="1:5" x14ac:dyDescent="0.4">
      <c r="A41">
        <v>4</v>
      </c>
      <c r="B41">
        <v>10</v>
      </c>
      <c r="C41">
        <v>0.5</v>
      </c>
      <c r="D41">
        <v>2</v>
      </c>
      <c r="E41" s="5">
        <f t="shared" si="0"/>
        <v>4</v>
      </c>
    </row>
    <row r="42" spans="1:5" x14ac:dyDescent="0.4">
      <c r="A42">
        <v>5</v>
      </c>
      <c r="B42">
        <v>1</v>
      </c>
      <c r="C42">
        <v>0.5</v>
      </c>
      <c r="D42">
        <v>0</v>
      </c>
      <c r="E42" s="5">
        <f t="shared" si="0"/>
        <v>0</v>
      </c>
    </row>
    <row r="43" spans="1:5" x14ac:dyDescent="0.4">
      <c r="A43">
        <v>5</v>
      </c>
      <c r="B43">
        <v>2</v>
      </c>
      <c r="C43">
        <v>0.5</v>
      </c>
      <c r="D43">
        <v>10</v>
      </c>
      <c r="E43" s="5">
        <f t="shared" si="0"/>
        <v>20</v>
      </c>
    </row>
    <row r="44" spans="1:5" x14ac:dyDescent="0.4">
      <c r="A44">
        <v>5</v>
      </c>
      <c r="B44">
        <v>3</v>
      </c>
      <c r="C44">
        <v>0.5</v>
      </c>
      <c r="D44">
        <v>38</v>
      </c>
      <c r="E44" s="5">
        <f t="shared" si="0"/>
        <v>76</v>
      </c>
    </row>
    <row r="45" spans="1:5" x14ac:dyDescent="0.4">
      <c r="A45">
        <v>5</v>
      </c>
      <c r="B45">
        <v>4</v>
      </c>
      <c r="C45">
        <v>0.5</v>
      </c>
      <c r="D45">
        <v>0</v>
      </c>
      <c r="E45" s="5">
        <f t="shared" si="0"/>
        <v>0</v>
      </c>
    </row>
    <row r="46" spans="1:5" x14ac:dyDescent="0.4">
      <c r="A46">
        <v>5</v>
      </c>
      <c r="B46">
        <v>5</v>
      </c>
      <c r="C46">
        <v>0.5</v>
      </c>
      <c r="D46">
        <v>0</v>
      </c>
      <c r="E46" s="5">
        <f t="shared" si="0"/>
        <v>0</v>
      </c>
    </row>
    <row r="47" spans="1:5" x14ac:dyDescent="0.4">
      <c r="A47">
        <v>5</v>
      </c>
      <c r="B47">
        <v>6</v>
      </c>
      <c r="C47">
        <v>0.5</v>
      </c>
      <c r="D47">
        <v>0</v>
      </c>
      <c r="E47" s="5">
        <f t="shared" si="0"/>
        <v>0</v>
      </c>
    </row>
    <row r="48" spans="1:5" x14ac:dyDescent="0.4">
      <c r="A48">
        <v>5</v>
      </c>
      <c r="B48">
        <v>7</v>
      </c>
      <c r="C48">
        <v>0.5</v>
      </c>
      <c r="D48">
        <v>0</v>
      </c>
      <c r="E48" s="5">
        <f t="shared" si="0"/>
        <v>0</v>
      </c>
    </row>
    <row r="49" spans="1:5" x14ac:dyDescent="0.4">
      <c r="A49">
        <v>5</v>
      </c>
      <c r="B49">
        <v>8</v>
      </c>
      <c r="C49">
        <v>0.5</v>
      </c>
      <c r="D49">
        <v>0</v>
      </c>
      <c r="E49" s="5">
        <f t="shared" si="0"/>
        <v>0</v>
      </c>
    </row>
    <row r="50" spans="1:5" x14ac:dyDescent="0.4">
      <c r="A50">
        <v>5</v>
      </c>
      <c r="B50">
        <v>9</v>
      </c>
      <c r="C50">
        <v>0.5</v>
      </c>
      <c r="D50">
        <v>0</v>
      </c>
      <c r="E50" s="5">
        <f t="shared" si="0"/>
        <v>0</v>
      </c>
    </row>
    <row r="51" spans="1:5" x14ac:dyDescent="0.4">
      <c r="A51">
        <v>5</v>
      </c>
      <c r="B51">
        <v>10</v>
      </c>
      <c r="C51">
        <v>0.5</v>
      </c>
      <c r="D51">
        <v>1</v>
      </c>
      <c r="E51" s="5">
        <f t="shared" si="0"/>
        <v>2</v>
      </c>
    </row>
    <row r="52" spans="1:5" x14ac:dyDescent="0.4">
      <c r="A52">
        <v>6</v>
      </c>
      <c r="B52">
        <v>1</v>
      </c>
      <c r="C52">
        <v>0.5</v>
      </c>
      <c r="D52">
        <v>147</v>
      </c>
      <c r="E52" s="5">
        <f t="shared" si="0"/>
        <v>294</v>
      </c>
    </row>
    <row r="53" spans="1:5" x14ac:dyDescent="0.4">
      <c r="A53">
        <v>6</v>
      </c>
      <c r="B53">
        <v>2</v>
      </c>
      <c r="C53">
        <v>0.5</v>
      </c>
      <c r="D53">
        <v>4</v>
      </c>
      <c r="E53" s="5">
        <f t="shared" si="0"/>
        <v>8</v>
      </c>
    </row>
    <row r="54" spans="1:5" x14ac:dyDescent="0.4">
      <c r="A54">
        <v>6</v>
      </c>
      <c r="B54">
        <v>3</v>
      </c>
      <c r="C54">
        <v>0.5</v>
      </c>
      <c r="D54">
        <v>7</v>
      </c>
      <c r="E54" s="5">
        <f t="shared" si="0"/>
        <v>14</v>
      </c>
    </row>
    <row r="55" spans="1:5" x14ac:dyDescent="0.4">
      <c r="A55">
        <v>6</v>
      </c>
      <c r="B55">
        <v>4</v>
      </c>
      <c r="C55">
        <v>0.5</v>
      </c>
      <c r="D55">
        <v>0</v>
      </c>
      <c r="E55" s="5">
        <f t="shared" si="0"/>
        <v>0</v>
      </c>
    </row>
    <row r="56" spans="1:5" x14ac:dyDescent="0.4">
      <c r="A56">
        <v>6</v>
      </c>
      <c r="B56">
        <v>5</v>
      </c>
      <c r="C56">
        <v>0.5</v>
      </c>
      <c r="D56">
        <v>72</v>
      </c>
      <c r="E56" s="5">
        <f t="shared" si="0"/>
        <v>144</v>
      </c>
    </row>
    <row r="57" spans="1:5" x14ac:dyDescent="0.4">
      <c r="A57">
        <v>6</v>
      </c>
      <c r="B57">
        <v>6</v>
      </c>
      <c r="C57">
        <v>0.5</v>
      </c>
      <c r="D57">
        <v>0</v>
      </c>
      <c r="E57" s="5">
        <f t="shared" si="0"/>
        <v>0</v>
      </c>
    </row>
    <row r="58" spans="1:5" x14ac:dyDescent="0.4">
      <c r="A58">
        <v>6</v>
      </c>
      <c r="B58">
        <v>7</v>
      </c>
      <c r="C58">
        <v>0.2</v>
      </c>
      <c r="D58">
        <v>3300000</v>
      </c>
      <c r="E58" s="5">
        <f t="shared" si="0"/>
        <v>16500000</v>
      </c>
    </row>
    <row r="59" spans="1:5" x14ac:dyDescent="0.4">
      <c r="A59">
        <v>6</v>
      </c>
      <c r="B59">
        <v>8</v>
      </c>
      <c r="C59">
        <v>0.5</v>
      </c>
      <c r="D59">
        <v>4</v>
      </c>
      <c r="E59" s="5">
        <f t="shared" si="0"/>
        <v>8</v>
      </c>
    </row>
    <row r="60" spans="1:5" x14ac:dyDescent="0.4">
      <c r="A60">
        <v>6</v>
      </c>
      <c r="B60">
        <v>9</v>
      </c>
      <c r="C60">
        <v>0.5</v>
      </c>
      <c r="D60">
        <v>0</v>
      </c>
      <c r="E60" s="5">
        <f t="shared" si="0"/>
        <v>0</v>
      </c>
    </row>
    <row r="61" spans="1:5" x14ac:dyDescent="0.4">
      <c r="A61">
        <v>6</v>
      </c>
      <c r="B61">
        <v>10</v>
      </c>
      <c r="C61">
        <v>0.5</v>
      </c>
      <c r="D61">
        <v>600</v>
      </c>
      <c r="E61" s="5">
        <f t="shared" si="0"/>
        <v>1200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B59B-AD68-4F91-8927-D01CB73C09BA}">
  <dimension ref="A1:F61"/>
  <sheetViews>
    <sheetView tabSelected="1" topLeftCell="A43" workbookViewId="0">
      <selection activeCell="M63" sqref="M63"/>
    </sheetView>
  </sheetViews>
  <sheetFormatPr defaultRowHeight="18.75" x14ac:dyDescent="0.4"/>
  <cols>
    <col min="6" max="6" width="10.6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 x14ac:dyDescent="0.4">
      <c r="A2">
        <v>1</v>
      </c>
      <c r="B2">
        <v>1</v>
      </c>
      <c r="C2">
        <v>0.25</v>
      </c>
      <c r="D2">
        <v>3</v>
      </c>
      <c r="E2" s="5">
        <f>D2/C2</f>
        <v>12</v>
      </c>
    </row>
    <row r="3" spans="1:6" x14ac:dyDescent="0.4">
      <c r="A3">
        <v>1</v>
      </c>
      <c r="B3">
        <v>2</v>
      </c>
      <c r="C3">
        <v>0.28000000000000003</v>
      </c>
      <c r="D3">
        <v>0</v>
      </c>
      <c r="E3" s="5">
        <f t="shared" ref="E3:E61" si="0">D3/C3</f>
        <v>0</v>
      </c>
    </row>
    <row r="4" spans="1:6" x14ac:dyDescent="0.4">
      <c r="A4">
        <v>1</v>
      </c>
      <c r="B4">
        <v>3</v>
      </c>
      <c r="C4">
        <v>0.5</v>
      </c>
      <c r="D4">
        <v>0</v>
      </c>
      <c r="E4" s="5">
        <f t="shared" si="0"/>
        <v>0</v>
      </c>
    </row>
    <row r="5" spans="1:6" x14ac:dyDescent="0.4">
      <c r="A5">
        <v>1</v>
      </c>
      <c r="B5">
        <v>4</v>
      </c>
      <c r="C5">
        <v>0.3</v>
      </c>
      <c r="D5">
        <v>2</v>
      </c>
      <c r="E5" s="5">
        <f t="shared" si="0"/>
        <v>6.666666666666667</v>
      </c>
    </row>
    <row r="6" spans="1:6" x14ac:dyDescent="0.4">
      <c r="A6">
        <v>1</v>
      </c>
      <c r="B6">
        <v>5</v>
      </c>
      <c r="C6">
        <v>0.28999999999999998</v>
      </c>
      <c r="D6">
        <v>0</v>
      </c>
      <c r="E6" s="5">
        <f t="shared" si="0"/>
        <v>0</v>
      </c>
    </row>
    <row r="7" spans="1:6" x14ac:dyDescent="0.4">
      <c r="A7">
        <v>1</v>
      </c>
      <c r="B7">
        <v>6</v>
      </c>
      <c r="C7">
        <v>0.5</v>
      </c>
      <c r="D7">
        <v>0</v>
      </c>
      <c r="E7" s="5">
        <f t="shared" si="0"/>
        <v>0</v>
      </c>
    </row>
    <row r="8" spans="1:6" x14ac:dyDescent="0.4">
      <c r="A8">
        <v>1</v>
      </c>
      <c r="B8">
        <v>7</v>
      </c>
      <c r="C8">
        <v>0.02</v>
      </c>
      <c r="D8">
        <v>100000</v>
      </c>
      <c r="E8" s="5">
        <f t="shared" si="0"/>
        <v>5000000</v>
      </c>
    </row>
    <row r="9" spans="1:6" x14ac:dyDescent="0.4">
      <c r="A9">
        <v>1</v>
      </c>
      <c r="B9">
        <v>8</v>
      </c>
      <c r="C9">
        <v>0.3</v>
      </c>
      <c r="D9">
        <v>0</v>
      </c>
      <c r="E9" s="5">
        <f t="shared" si="0"/>
        <v>0</v>
      </c>
    </row>
    <row r="10" spans="1:6" x14ac:dyDescent="0.4">
      <c r="A10">
        <v>1</v>
      </c>
      <c r="B10">
        <v>9</v>
      </c>
      <c r="C10">
        <v>0.5</v>
      </c>
      <c r="D10">
        <v>0</v>
      </c>
      <c r="E10" s="5">
        <f t="shared" si="0"/>
        <v>0</v>
      </c>
    </row>
    <row r="11" spans="1:6" x14ac:dyDescent="0.4">
      <c r="A11">
        <v>1</v>
      </c>
      <c r="B11">
        <v>10</v>
      </c>
      <c r="C11">
        <v>0.28999999999999998</v>
      </c>
      <c r="D11">
        <v>0</v>
      </c>
      <c r="E11" s="5">
        <f t="shared" si="0"/>
        <v>0</v>
      </c>
    </row>
    <row r="12" spans="1:6" x14ac:dyDescent="0.4">
      <c r="A12">
        <v>2</v>
      </c>
      <c r="B12">
        <v>1</v>
      </c>
      <c r="C12">
        <v>0.36</v>
      </c>
      <c r="D12">
        <v>0</v>
      </c>
      <c r="E12" s="5">
        <f t="shared" si="0"/>
        <v>0</v>
      </c>
    </row>
    <row r="13" spans="1:6" x14ac:dyDescent="0.4">
      <c r="A13">
        <v>2</v>
      </c>
      <c r="B13">
        <v>2</v>
      </c>
      <c r="C13">
        <v>0.28999999999999998</v>
      </c>
      <c r="D13">
        <v>0</v>
      </c>
      <c r="E13" s="5">
        <f t="shared" si="0"/>
        <v>0</v>
      </c>
    </row>
    <row r="14" spans="1:6" x14ac:dyDescent="0.4">
      <c r="A14">
        <v>2</v>
      </c>
      <c r="B14">
        <v>3</v>
      </c>
      <c r="C14">
        <v>0.38</v>
      </c>
      <c r="D14">
        <v>33</v>
      </c>
      <c r="E14" s="5">
        <f t="shared" si="0"/>
        <v>86.84210526315789</v>
      </c>
    </row>
    <row r="15" spans="1:6" x14ac:dyDescent="0.4">
      <c r="A15">
        <v>2</v>
      </c>
      <c r="B15">
        <v>4</v>
      </c>
      <c r="C15">
        <v>0.28000000000000003</v>
      </c>
      <c r="D15">
        <v>98</v>
      </c>
      <c r="E15" s="5">
        <f t="shared" si="0"/>
        <v>349.99999999999994</v>
      </c>
    </row>
    <row r="16" spans="1:6" x14ac:dyDescent="0.4">
      <c r="A16">
        <v>2</v>
      </c>
      <c r="B16">
        <v>5</v>
      </c>
      <c r="C16">
        <v>0.32</v>
      </c>
      <c r="D16">
        <v>35</v>
      </c>
      <c r="E16" s="5">
        <f t="shared" si="0"/>
        <v>109.375</v>
      </c>
    </row>
    <row r="17" spans="1:5" x14ac:dyDescent="0.4">
      <c r="A17">
        <v>2</v>
      </c>
      <c r="B17">
        <v>6</v>
      </c>
      <c r="C17">
        <v>0.32</v>
      </c>
      <c r="D17">
        <v>12</v>
      </c>
      <c r="E17" s="5">
        <f t="shared" si="0"/>
        <v>37.5</v>
      </c>
    </row>
    <row r="18" spans="1:5" x14ac:dyDescent="0.4">
      <c r="A18">
        <v>2</v>
      </c>
      <c r="B18">
        <v>7</v>
      </c>
      <c r="C18">
        <v>0.3</v>
      </c>
      <c r="D18">
        <v>0</v>
      </c>
      <c r="E18" s="5">
        <f t="shared" si="0"/>
        <v>0</v>
      </c>
    </row>
    <row r="19" spans="1:5" x14ac:dyDescent="0.4">
      <c r="A19">
        <v>2</v>
      </c>
      <c r="B19">
        <v>8</v>
      </c>
      <c r="C19">
        <v>0.24</v>
      </c>
      <c r="D19">
        <v>0</v>
      </c>
      <c r="E19" s="5">
        <f t="shared" si="0"/>
        <v>0</v>
      </c>
    </row>
    <row r="20" spans="1:5" x14ac:dyDescent="0.4">
      <c r="A20">
        <v>2</v>
      </c>
      <c r="B20">
        <v>9</v>
      </c>
      <c r="C20">
        <v>0.28000000000000003</v>
      </c>
      <c r="D20">
        <v>7</v>
      </c>
      <c r="E20" s="5">
        <f t="shared" si="0"/>
        <v>24.999999999999996</v>
      </c>
    </row>
    <row r="21" spans="1:5" x14ac:dyDescent="0.4">
      <c r="A21">
        <v>2</v>
      </c>
      <c r="B21">
        <v>10</v>
      </c>
      <c r="C21">
        <v>0.36</v>
      </c>
      <c r="D21">
        <v>25</v>
      </c>
      <c r="E21" s="5">
        <f t="shared" si="0"/>
        <v>69.444444444444443</v>
      </c>
    </row>
    <row r="22" spans="1:5" x14ac:dyDescent="0.4">
      <c r="A22">
        <v>3</v>
      </c>
      <c r="B22">
        <v>1</v>
      </c>
      <c r="C22">
        <v>0.5</v>
      </c>
      <c r="D22">
        <v>11</v>
      </c>
      <c r="E22" s="5">
        <f t="shared" si="0"/>
        <v>22</v>
      </c>
    </row>
    <row r="23" spans="1:5" x14ac:dyDescent="0.4">
      <c r="A23">
        <v>3</v>
      </c>
      <c r="B23">
        <v>2</v>
      </c>
      <c r="C23">
        <v>0.3</v>
      </c>
      <c r="D23">
        <v>29</v>
      </c>
      <c r="E23" s="5">
        <f t="shared" si="0"/>
        <v>96.666666666666671</v>
      </c>
    </row>
    <row r="24" spans="1:5" x14ac:dyDescent="0.4">
      <c r="A24">
        <v>3</v>
      </c>
      <c r="B24">
        <v>3</v>
      </c>
      <c r="C24">
        <v>0.5</v>
      </c>
      <c r="D24">
        <v>97</v>
      </c>
      <c r="E24" s="5">
        <f t="shared" si="0"/>
        <v>194</v>
      </c>
    </row>
    <row r="25" spans="1:5" x14ac:dyDescent="0.4">
      <c r="A25">
        <v>3</v>
      </c>
      <c r="B25">
        <v>4</v>
      </c>
      <c r="C25">
        <v>0.2</v>
      </c>
      <c r="D25">
        <v>8500000</v>
      </c>
      <c r="E25" s="5">
        <f t="shared" si="0"/>
        <v>42500000</v>
      </c>
    </row>
    <row r="26" spans="1:5" x14ac:dyDescent="0.4">
      <c r="A26">
        <v>3</v>
      </c>
      <c r="B26">
        <v>5</v>
      </c>
      <c r="C26">
        <v>0.5</v>
      </c>
      <c r="D26">
        <v>1</v>
      </c>
      <c r="E26" s="5">
        <f t="shared" si="0"/>
        <v>2</v>
      </c>
    </row>
    <row r="27" spans="1:5" x14ac:dyDescent="0.4">
      <c r="A27">
        <v>3</v>
      </c>
      <c r="B27">
        <v>6</v>
      </c>
      <c r="C27">
        <v>0.5</v>
      </c>
      <c r="D27">
        <v>0</v>
      </c>
      <c r="E27" s="5">
        <f t="shared" si="0"/>
        <v>0</v>
      </c>
    </row>
    <row r="28" spans="1:5" x14ac:dyDescent="0.4">
      <c r="A28">
        <v>3</v>
      </c>
      <c r="B28">
        <v>7</v>
      </c>
      <c r="C28">
        <v>0.5</v>
      </c>
      <c r="D28">
        <v>118</v>
      </c>
      <c r="E28" s="5">
        <f t="shared" si="0"/>
        <v>236</v>
      </c>
    </row>
    <row r="29" spans="1:5" x14ac:dyDescent="0.4">
      <c r="A29">
        <v>3</v>
      </c>
      <c r="B29">
        <v>8</v>
      </c>
      <c r="C29">
        <v>0.4</v>
      </c>
      <c r="D29">
        <v>185</v>
      </c>
      <c r="E29" s="5">
        <f t="shared" si="0"/>
        <v>462.5</v>
      </c>
    </row>
    <row r="30" spans="1:5" x14ac:dyDescent="0.4">
      <c r="A30">
        <v>3</v>
      </c>
      <c r="B30">
        <v>9</v>
      </c>
      <c r="C30">
        <v>0.5</v>
      </c>
      <c r="D30">
        <v>27</v>
      </c>
      <c r="E30" s="5">
        <f t="shared" si="0"/>
        <v>54</v>
      </c>
    </row>
    <row r="31" spans="1:5" x14ac:dyDescent="0.4">
      <c r="A31">
        <v>3</v>
      </c>
      <c r="B31">
        <v>10</v>
      </c>
      <c r="C31">
        <v>0.5</v>
      </c>
      <c r="D31">
        <v>4</v>
      </c>
      <c r="E31" s="5">
        <f t="shared" si="0"/>
        <v>8</v>
      </c>
    </row>
    <row r="32" spans="1:5" x14ac:dyDescent="0.4">
      <c r="A32">
        <v>4</v>
      </c>
      <c r="B32">
        <v>1</v>
      </c>
      <c r="C32">
        <v>0.3</v>
      </c>
      <c r="D32">
        <v>14</v>
      </c>
      <c r="E32" s="5">
        <f t="shared" si="0"/>
        <v>46.666666666666671</v>
      </c>
    </row>
    <row r="33" spans="1:5" x14ac:dyDescent="0.4">
      <c r="A33">
        <v>4</v>
      </c>
      <c r="B33">
        <v>2</v>
      </c>
      <c r="C33">
        <v>0.3</v>
      </c>
      <c r="D33">
        <v>2</v>
      </c>
      <c r="E33" s="5">
        <f t="shared" si="0"/>
        <v>6.666666666666667</v>
      </c>
    </row>
    <row r="34" spans="1:5" x14ac:dyDescent="0.4">
      <c r="A34">
        <v>4</v>
      </c>
      <c r="B34">
        <v>3</v>
      </c>
      <c r="C34">
        <v>0.34</v>
      </c>
      <c r="D34">
        <v>4</v>
      </c>
      <c r="E34" s="5">
        <f t="shared" si="0"/>
        <v>11.76470588235294</v>
      </c>
    </row>
    <row r="35" spans="1:5" x14ac:dyDescent="0.4">
      <c r="A35">
        <v>4</v>
      </c>
      <c r="B35">
        <v>4</v>
      </c>
      <c r="C35">
        <v>0.4</v>
      </c>
      <c r="D35">
        <v>1000</v>
      </c>
      <c r="E35" s="5">
        <f t="shared" si="0"/>
        <v>2500</v>
      </c>
    </row>
    <row r="36" spans="1:5" x14ac:dyDescent="0.4">
      <c r="A36">
        <v>4</v>
      </c>
      <c r="B36">
        <v>5</v>
      </c>
      <c r="C36">
        <v>0.5</v>
      </c>
      <c r="D36">
        <v>102</v>
      </c>
      <c r="E36" s="5">
        <f t="shared" si="0"/>
        <v>204</v>
      </c>
    </row>
    <row r="37" spans="1:5" x14ac:dyDescent="0.4">
      <c r="A37">
        <v>4</v>
      </c>
      <c r="B37">
        <v>6</v>
      </c>
      <c r="C37">
        <v>0.5</v>
      </c>
      <c r="D37">
        <v>1</v>
      </c>
      <c r="E37" s="5">
        <f t="shared" si="0"/>
        <v>2</v>
      </c>
    </row>
    <row r="38" spans="1:5" x14ac:dyDescent="0.4">
      <c r="A38">
        <v>4</v>
      </c>
      <c r="B38">
        <v>7</v>
      </c>
      <c r="C38">
        <v>0.5</v>
      </c>
      <c r="D38">
        <v>200</v>
      </c>
      <c r="E38" s="5">
        <f t="shared" si="0"/>
        <v>400</v>
      </c>
    </row>
    <row r="39" spans="1:5" x14ac:dyDescent="0.4">
      <c r="A39">
        <v>4</v>
      </c>
      <c r="B39">
        <v>8</v>
      </c>
      <c r="C39">
        <v>0.5</v>
      </c>
      <c r="D39">
        <v>0</v>
      </c>
      <c r="E39" s="5">
        <f t="shared" si="0"/>
        <v>0</v>
      </c>
    </row>
    <row r="40" spans="1:5" x14ac:dyDescent="0.4">
      <c r="A40">
        <v>4</v>
      </c>
      <c r="B40">
        <v>9</v>
      </c>
      <c r="C40">
        <v>0.5</v>
      </c>
      <c r="D40">
        <v>156</v>
      </c>
      <c r="E40" s="5">
        <f t="shared" si="0"/>
        <v>312</v>
      </c>
    </row>
    <row r="41" spans="1:5" x14ac:dyDescent="0.4">
      <c r="A41">
        <v>4</v>
      </c>
      <c r="B41">
        <v>10</v>
      </c>
      <c r="C41">
        <v>0.47</v>
      </c>
      <c r="D41">
        <v>0</v>
      </c>
      <c r="E41" s="5">
        <f t="shared" si="0"/>
        <v>0</v>
      </c>
    </row>
    <row r="42" spans="1:5" x14ac:dyDescent="0.4">
      <c r="A42">
        <v>5</v>
      </c>
      <c r="B42">
        <v>1</v>
      </c>
      <c r="C42">
        <v>0.34</v>
      </c>
      <c r="D42">
        <v>0</v>
      </c>
      <c r="E42" s="5">
        <f t="shared" si="0"/>
        <v>0</v>
      </c>
    </row>
    <row r="43" spans="1:5" x14ac:dyDescent="0.4">
      <c r="A43">
        <v>5</v>
      </c>
      <c r="B43">
        <v>2</v>
      </c>
      <c r="C43">
        <v>0.5</v>
      </c>
      <c r="D43">
        <v>11</v>
      </c>
      <c r="E43" s="5">
        <f t="shared" si="0"/>
        <v>22</v>
      </c>
    </row>
    <row r="44" spans="1:5" x14ac:dyDescent="0.4">
      <c r="A44">
        <v>5</v>
      </c>
      <c r="B44">
        <v>3</v>
      </c>
      <c r="C44">
        <v>0.3</v>
      </c>
      <c r="D44">
        <v>129</v>
      </c>
      <c r="E44" s="5">
        <f t="shared" si="0"/>
        <v>430</v>
      </c>
    </row>
    <row r="45" spans="1:5" x14ac:dyDescent="0.4">
      <c r="A45">
        <v>5</v>
      </c>
      <c r="B45">
        <v>4</v>
      </c>
      <c r="C45">
        <v>0.27</v>
      </c>
      <c r="D45">
        <v>0</v>
      </c>
      <c r="E45" s="5">
        <f t="shared" si="0"/>
        <v>0</v>
      </c>
    </row>
    <row r="46" spans="1:5" x14ac:dyDescent="0.4">
      <c r="A46">
        <v>5</v>
      </c>
      <c r="B46">
        <v>5</v>
      </c>
      <c r="C46">
        <v>0.45</v>
      </c>
      <c r="D46">
        <v>58</v>
      </c>
      <c r="E46" s="5">
        <f t="shared" si="0"/>
        <v>128.88888888888889</v>
      </c>
    </row>
    <row r="47" spans="1:5" x14ac:dyDescent="0.4">
      <c r="A47">
        <v>5</v>
      </c>
      <c r="B47">
        <v>6</v>
      </c>
      <c r="C47">
        <v>0.4</v>
      </c>
      <c r="D47">
        <v>1</v>
      </c>
      <c r="E47" s="5">
        <f t="shared" si="0"/>
        <v>2.5</v>
      </c>
    </row>
    <row r="48" spans="1:5" x14ac:dyDescent="0.4">
      <c r="A48">
        <v>5</v>
      </c>
      <c r="B48">
        <v>7</v>
      </c>
      <c r="C48">
        <v>0.5</v>
      </c>
      <c r="D48">
        <v>6</v>
      </c>
      <c r="E48" s="5">
        <f t="shared" si="0"/>
        <v>12</v>
      </c>
    </row>
    <row r="49" spans="1:5" x14ac:dyDescent="0.4">
      <c r="A49">
        <v>5</v>
      </c>
      <c r="B49">
        <v>8</v>
      </c>
      <c r="C49">
        <v>0.5</v>
      </c>
      <c r="D49">
        <v>14</v>
      </c>
      <c r="E49" s="5">
        <f t="shared" si="0"/>
        <v>28</v>
      </c>
    </row>
    <row r="50" spans="1:5" x14ac:dyDescent="0.4">
      <c r="A50">
        <v>5</v>
      </c>
      <c r="B50">
        <v>9</v>
      </c>
      <c r="C50">
        <v>0.25</v>
      </c>
      <c r="D50">
        <v>0</v>
      </c>
      <c r="E50" s="5">
        <f t="shared" si="0"/>
        <v>0</v>
      </c>
    </row>
    <row r="51" spans="1:5" x14ac:dyDescent="0.4">
      <c r="A51">
        <v>5</v>
      </c>
      <c r="B51">
        <v>10</v>
      </c>
      <c r="C51">
        <v>0.32</v>
      </c>
      <c r="D51">
        <v>9</v>
      </c>
      <c r="E51" s="5">
        <f t="shared" si="0"/>
        <v>28.125</v>
      </c>
    </row>
    <row r="52" spans="1:5" x14ac:dyDescent="0.4">
      <c r="A52">
        <v>6</v>
      </c>
      <c r="B52">
        <v>1</v>
      </c>
      <c r="C52">
        <v>0.5</v>
      </c>
      <c r="D52">
        <v>194</v>
      </c>
      <c r="E52" s="5">
        <f t="shared" si="0"/>
        <v>388</v>
      </c>
    </row>
    <row r="53" spans="1:5" x14ac:dyDescent="0.4">
      <c r="A53">
        <v>6</v>
      </c>
      <c r="B53">
        <v>2</v>
      </c>
      <c r="C53">
        <v>0.5</v>
      </c>
      <c r="D53">
        <v>400</v>
      </c>
      <c r="E53" s="5">
        <f t="shared" si="0"/>
        <v>800</v>
      </c>
    </row>
    <row r="54" spans="1:5" x14ac:dyDescent="0.4">
      <c r="A54">
        <v>6</v>
      </c>
      <c r="B54">
        <v>3</v>
      </c>
      <c r="C54">
        <v>0.5</v>
      </c>
      <c r="D54">
        <v>26</v>
      </c>
      <c r="E54" s="5">
        <f t="shared" si="0"/>
        <v>52</v>
      </c>
    </row>
    <row r="55" spans="1:5" x14ac:dyDescent="0.4">
      <c r="A55">
        <v>6</v>
      </c>
      <c r="B55">
        <v>4</v>
      </c>
      <c r="C55">
        <v>0.5</v>
      </c>
      <c r="D55">
        <v>15</v>
      </c>
      <c r="E55" s="5">
        <f t="shared" si="0"/>
        <v>30</v>
      </c>
    </row>
    <row r="56" spans="1:5" x14ac:dyDescent="0.4">
      <c r="A56">
        <v>6</v>
      </c>
      <c r="B56">
        <v>5</v>
      </c>
      <c r="C56">
        <v>0.5</v>
      </c>
      <c r="D56">
        <v>141</v>
      </c>
      <c r="E56" s="5">
        <f t="shared" si="0"/>
        <v>282</v>
      </c>
    </row>
    <row r="57" spans="1:5" x14ac:dyDescent="0.4">
      <c r="A57">
        <v>6</v>
      </c>
      <c r="B57">
        <v>6</v>
      </c>
      <c r="C57">
        <v>0.22</v>
      </c>
      <c r="D57">
        <v>0</v>
      </c>
      <c r="E57" s="5">
        <f t="shared" si="0"/>
        <v>0</v>
      </c>
    </row>
    <row r="58" spans="1:5" x14ac:dyDescent="0.4">
      <c r="A58">
        <v>6</v>
      </c>
      <c r="B58">
        <v>7</v>
      </c>
      <c r="C58">
        <v>0.03</v>
      </c>
      <c r="D58">
        <v>1040000</v>
      </c>
      <c r="E58" s="5">
        <f t="shared" si="0"/>
        <v>34666666.666666672</v>
      </c>
    </row>
    <row r="59" spans="1:5" x14ac:dyDescent="0.4">
      <c r="A59">
        <v>6</v>
      </c>
      <c r="B59">
        <v>8</v>
      </c>
      <c r="C59">
        <v>0.46</v>
      </c>
      <c r="D59">
        <v>300</v>
      </c>
      <c r="E59" s="5">
        <f t="shared" si="0"/>
        <v>652.17391304347825</v>
      </c>
    </row>
    <row r="60" spans="1:5" x14ac:dyDescent="0.4">
      <c r="A60">
        <v>6</v>
      </c>
      <c r="B60">
        <v>9</v>
      </c>
      <c r="C60">
        <v>0.5</v>
      </c>
      <c r="D60">
        <v>28</v>
      </c>
      <c r="E60" s="5">
        <f t="shared" si="0"/>
        <v>56</v>
      </c>
    </row>
    <row r="61" spans="1:5" x14ac:dyDescent="0.4">
      <c r="A61">
        <v>6</v>
      </c>
      <c r="B61">
        <v>10</v>
      </c>
      <c r="C61">
        <v>0.38</v>
      </c>
      <c r="D61">
        <v>2</v>
      </c>
      <c r="E61" s="5">
        <f t="shared" si="0"/>
        <v>5.2631578947368425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liver_CFU</vt:lpstr>
      <vt:lpstr>heart_CFU</vt:lpstr>
      <vt:lpstr>spleen_CFU</vt:lpstr>
      <vt:lpstr>liver</vt:lpstr>
      <vt:lpstr>heart</vt:lpstr>
      <vt:lpstr>spleen</vt:lpstr>
    </vt:vector>
  </TitlesOfParts>
  <Company>Zennoh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naka中村　素直　３　家衛研研究開室</dc:creator>
  <cp:lastModifiedBy>素直 中村</cp:lastModifiedBy>
  <dcterms:created xsi:type="dcterms:W3CDTF">2025-12-01T11:06:34Z</dcterms:created>
  <dcterms:modified xsi:type="dcterms:W3CDTF">2026-01-28T11:00:03Z</dcterms:modified>
</cp:coreProperties>
</file>